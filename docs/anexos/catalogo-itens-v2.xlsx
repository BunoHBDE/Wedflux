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Catálogo" sheetId="2" state="visible" r:id="rId4"/>
    <sheet name="Simulador" sheetId="3" state="visible" r:id="rId5"/>
    <sheet name="Cenários" sheetId="4" state="visible" r:id="rId6"/>
  </sheets>
  <definedNames>
    <definedName function="false" hidden="true" localSheetId="1" name="_xlnm._FilterDatabase" vbProcedure="false">Catálogo!$A$1:$K$55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<sst xmlns="http://schemas.openxmlformats.org/spreadsheetml/2006/main" count="387" uniqueCount="154">
  <si>
    <t xml:space="preserve">Catálogo de itens — App de organização financeira do casamento (v2, rascunho)</t>
  </si>
  <si>
    <t xml:space="preserve">O que é</t>
  </si>
  <si>
    <t xml:space="preserve">Primeira versão do catálogo que gera o plano do casal: itens com custo, em que estilo cada um aparece, se entra no checklist e o prazo de decisão. Serve para revisão e, depois, para virar a tabela de templates no Supabase.</t>
  </si>
  <si>
    <t xml:space="preserve">Abas</t>
  </si>
  <si>
    <t xml:space="preserve">Catálogo: a lista de itens (esta é a base que será importada). Simulador: informe a data do casamento, o estilo e se é destination, e veja a lista e os prazos ajustados. Cenários: como o prazo muda conforme o tempo disponível.</t>
  </si>
  <si>
    <t xml:space="preserve">Cores</t>
  </si>
  <si>
    <t xml:space="preserve">Texto azul com fundo amarelo = campo que você edita. Texto preto = fórmula, não editar.</t>
  </si>
  <si>
    <t xml:space="preserve">Estilo e nível</t>
  </si>
  <si>
    <t xml:space="preserve">Cada item tem nível 1, 2 ou 3. 'Só o necessário' mostra o nível 1; 'Minimalista' mostra os níveis 1 e 2; 'Completo' mostra os níveis 1, 2 e 3. Nível 1 = Básico; níveis 2 e 3 = Adicional.</t>
  </si>
  <si>
    <t xml:space="preserve">Destination</t>
  </si>
  <si>
    <t xml:space="preserve">Itens marcados 'Só destination' só aparecem quando o casal escolhe destination wedding. Nesta versão são 5 itens.</t>
  </si>
  <si>
    <t xml:space="preserve">Checklist</t>
  </si>
  <si>
    <t xml:space="preserve">O checklist enxuto usa só os itens marcados como Essencial que estão no plano do casal. Nesta versão são 24 essenciais no total (de 19 a 24 por casal, conforme estilo e destination).</t>
  </si>
  <si>
    <t xml:space="preserve">Prazo padrão</t>
  </si>
  <si>
    <t xml:space="preserve">Em meses antes do casamento, para quem tem 12 meses ou mais. Vem do fim da janela da planilha de referência (ex.: '10 a 12 meses' vira 10). Itens marcados como estimativa própria não constam na referência. Valor negativo = meses depois do casamento.</t>
  </si>
  <si>
    <t xml:space="preserve">Ajuste do prazo</t>
  </si>
  <si>
    <t xml:space="preserve">Prazo ajustado = prazo padrão x fator. Fator = menor valor entre 1 e (meses disponíveis / janela padrão de 12). Quem tem 12 meses ou mais usa os prazos padrão; quem tem menos tem todos os prazos encurtados na mesma proporção. Prazos negativos (depois do casamento) não são encurtados. Data limite = data do casamento menos o prazo ajustado.</t>
  </si>
  <si>
    <t xml:space="preserve">Limite da regra</t>
  </si>
  <si>
    <t xml:space="preserve">Com menos de 4 meses disponíveis o Simulador mostra um aviso: os prazos ficam muito próximos entre si e vale priorizar só os essenciais.</t>
  </si>
  <si>
    <t xml:space="preserve">Fonte e uso</t>
  </si>
  <si>
    <t xml:space="preserve">A estrutura (grupos, ordem e janelas de prazo) foi derivada da Agenda de Tarefas do Casamentos.com.br, planilha enviada por Bruno. Nomes e observações dos itens são próprios; os textos da referência não foram copiados.</t>
  </si>
  <si>
    <t xml:space="preserve">Premissas a validar</t>
  </si>
  <si>
    <t xml:space="preserve">Nível de cada item, quais são essenciais (itens marcados 'Sugestão' foram sugeridos, não vêm da referência), as estimativas próprias e a regra de 'janela padrão de 12 meses'. Tudo isso é decisão de produto e pode mudar.</t>
  </si>
  <si>
    <t xml:space="preserve">id</t>
  </si>
  <si>
    <t xml:space="preserve">Categoria</t>
  </si>
  <si>
    <t xml:space="preserve">Item</t>
  </si>
  <si>
    <t xml:space="preserve">Nível (1 a 3)</t>
  </si>
  <si>
    <t xml:space="preserve">Tipo</t>
  </si>
  <si>
    <t xml:space="preserve">Essencial (checklist)</t>
  </si>
  <si>
    <t xml:space="preserve">Origem do essencial</t>
  </si>
  <si>
    <t xml:space="preserve">Prazo padrão (meses antes)</t>
  </si>
  <si>
    <t xml:space="preserve">Origem do prazo</t>
  </si>
  <si>
    <t xml:space="preserve">Observação</t>
  </si>
  <si>
    <t xml:space="preserve">Planejamento e documentos</t>
  </si>
  <si>
    <t xml:space="preserve">Reserva para imprevistos (5 a 10% do orçamento)</t>
  </si>
  <si>
    <t xml:space="preserve">Sim</t>
  </si>
  <si>
    <t xml:space="preserve">Sugestão</t>
  </si>
  <si>
    <t xml:space="preserve">Todos</t>
  </si>
  <si>
    <t xml:space="preserve">Estimativa própria (não consta na planilha de referência)</t>
  </si>
  <si>
    <t xml:space="preserve">Definir no início, junto com o orçamento</t>
  </si>
  <si>
    <t xml:space="preserve">Cerimonialista ou assessoria</t>
  </si>
  <si>
    <t xml:space="preserve">Planilha de referência (10 a 12 meses)</t>
  </si>
  <si>
    <t xml:space="preserve">Decisão entre organizar sozinhos ou contratar</t>
  </si>
  <si>
    <t xml:space="preserve">Cerimônia e música</t>
  </si>
  <si>
    <t xml:space="preserve">Local da cerimônia</t>
  </si>
  <si>
    <t xml:space="preserve">Pode ser o mesmo espaço da recepção</t>
  </si>
  <si>
    <t xml:space="preserve">Celebrante ou juiz de paz</t>
  </si>
  <si>
    <t xml:space="preserve">Festa e decoração</t>
  </si>
  <si>
    <t xml:space="preserve">Espaço da recepção</t>
  </si>
  <si>
    <t xml:space="preserve">Planilha</t>
  </si>
  <si>
    <t xml:space="preserve">Buffet ou catering</t>
  </si>
  <si>
    <t xml:space="preserve">Animação e atrações da festa</t>
  </si>
  <si>
    <t xml:space="preserve">Não</t>
  </si>
  <si>
    <t xml:space="preserve">Foto e vídeo</t>
  </si>
  <si>
    <t xml:space="preserve">Fotógrafo</t>
  </si>
  <si>
    <t xml:space="preserve">Filmagem</t>
  </si>
  <si>
    <t xml:space="preserve">Sugestão: contratar junto com o fotógrafo</t>
  </si>
  <si>
    <t xml:space="preserve">Música ou DJ da cerimônia</t>
  </si>
  <si>
    <t xml:space="preserve">Na referência, 'músicos' é uma única linha essencial; aqui foi dividida em dois itens</t>
  </si>
  <si>
    <t xml:space="preserve">Banda ou DJ da festa</t>
  </si>
  <si>
    <t xml:space="preserve">Convidados e convites</t>
  </si>
  <si>
    <t xml:space="preserve">Save the date</t>
  </si>
  <si>
    <t xml:space="preserve">Viagens e hospedagem</t>
  </si>
  <si>
    <t xml:space="preserve">Hospedagem dos convidados</t>
  </si>
  <si>
    <t xml:space="preserve">Só destination</t>
  </si>
  <si>
    <t xml:space="preserve">Aparece só em destination wedding</t>
  </si>
  <si>
    <t xml:space="preserve">Visita técnica ao local</t>
  </si>
  <si>
    <t xml:space="preserve">Passagens e documentos de viagem dos noivos</t>
  </si>
  <si>
    <t xml:space="preserve">Casamento civil: documentos e taxas</t>
  </si>
  <si>
    <t xml:space="preserve">Planilha de referência (7 a 9 meses)</t>
  </si>
  <si>
    <t xml:space="preserve">Marcar 'não se aplica' se não houver casamento civil</t>
  </si>
  <si>
    <t xml:space="preserve">Casamento religioso: documentos e taxas</t>
  </si>
  <si>
    <t xml:space="preserve">Marcar 'não se aplica' se não houver cerimônia religiosa</t>
  </si>
  <si>
    <t xml:space="preserve">Estrutura, som e iluminação</t>
  </si>
  <si>
    <t xml:space="preserve">Tenda, banheiros, gerador e afins conforme o local</t>
  </si>
  <si>
    <t xml:space="preserve">Noivos e beleza</t>
  </si>
  <si>
    <t xml:space="preserve">Vestido de noiva</t>
  </si>
  <si>
    <t xml:space="preserve">Inclui a decisão entre alugar e comprar</t>
  </si>
  <si>
    <t xml:space="preserve">Hospedagem e deslocamento dos fornecedores</t>
  </si>
  <si>
    <t xml:space="preserve">Pacto antenupcial e regime de bens</t>
  </si>
  <si>
    <t xml:space="preserve">Escritura em cartório, com custo próprio</t>
  </si>
  <si>
    <t xml:space="preserve">Lista de presentes e site do casamento</t>
  </si>
  <si>
    <t xml:space="preserve">O site também serve para confirmação de presença</t>
  </si>
  <si>
    <t xml:space="preserve">Ensaio pré-wedding</t>
  </si>
  <si>
    <t xml:space="preserve">Passaporte, visto e seguro viagem</t>
  </si>
  <si>
    <t xml:space="preserve">Passaporte e visto podem demorar meses</t>
  </si>
  <si>
    <t xml:space="preserve">Documentação do casamento no exterior (apostila, tradução)</t>
  </si>
  <si>
    <t xml:space="preserve">Bolo e doces</t>
  </si>
  <si>
    <t xml:space="preserve">Planilha de referência (4 a 6 meses)</t>
  </si>
  <si>
    <t xml:space="preserve">Decoração e flores</t>
  </si>
  <si>
    <t xml:space="preserve">Convites</t>
  </si>
  <si>
    <t xml:space="preserve">Traje do noivo</t>
  </si>
  <si>
    <t xml:space="preserve">Acessórios do noivo</t>
  </si>
  <si>
    <t xml:space="preserve">Transporte dos convidados</t>
  </si>
  <si>
    <t xml:space="preserve">Lua de mel</t>
  </si>
  <si>
    <t xml:space="preserve">Reserva da viagem</t>
  </si>
  <si>
    <t xml:space="preserve">Extras e festas do casal</t>
  </si>
  <si>
    <t xml:space="preserve">Festa e presentes de compromisso</t>
  </si>
  <si>
    <t xml:space="preserve">Agrupa 2 linhas da referência em 1 item</t>
  </si>
  <si>
    <t xml:space="preserve">Bebidas e bar (open bar, bartender)</t>
  </si>
  <si>
    <t xml:space="preserve">Muitas vezes contratado à parte do buffet</t>
  </si>
  <si>
    <t xml:space="preserve">Segurança, estacionamento e equipe de apoio</t>
  </si>
  <si>
    <t xml:space="preserve">Manobrista, segurança, limpeza e recepcionistas</t>
  </si>
  <si>
    <t xml:space="preserve">Chá de panela ou chá bar</t>
  </si>
  <si>
    <t xml:space="preserve">Papelaria complementar (menu, plaquinhas, mapa de mesas)</t>
  </si>
  <si>
    <t xml:space="preserve">Espaço kids e recreação infantil</t>
  </si>
  <si>
    <t xml:space="preserve">Seguro do evento</t>
  </si>
  <si>
    <t xml:space="preserve">Enxoval e mudança</t>
  </si>
  <si>
    <t xml:space="preserve">Para quem vai morar junto após o casamento</t>
  </si>
  <si>
    <t xml:space="preserve">Buquê da noiva</t>
  </si>
  <si>
    <t xml:space="preserve">Planilha de referência (2 a 3 meses)</t>
  </si>
  <si>
    <t xml:space="preserve">Acessórios da noiva (sapatos, véu, lingerie)</t>
  </si>
  <si>
    <t xml:space="preserve">Agrupa 4 linhas da referência em 1 item</t>
  </si>
  <si>
    <t xml:space="preserve">Alianças</t>
  </si>
  <si>
    <t xml:space="preserve">Na referência, 3 linhas (buscar, encomendar, retirar) viram 1 item</t>
  </si>
  <si>
    <t xml:space="preserve">Cabelo e maquiagem</t>
  </si>
  <si>
    <t xml:space="preserve">Estética e cuidados (noiva e noivo)</t>
  </si>
  <si>
    <t xml:space="preserve">Junta centro de estética e barbeiro</t>
  </si>
  <si>
    <t xml:space="preserve">Carro dos noivos</t>
  </si>
  <si>
    <t xml:space="preserve">Hotel da noite do casamento</t>
  </si>
  <si>
    <t xml:space="preserve">Lembrancinhas</t>
  </si>
  <si>
    <t xml:space="preserve">Presentes para convidados especiais</t>
  </si>
  <si>
    <t xml:space="preserve">Despedida de solteiro(a)</t>
  </si>
  <si>
    <t xml:space="preserve">Roupas das damas e pajens</t>
  </si>
  <si>
    <t xml:space="preserve">Roupas dos pais e padrinhos</t>
  </si>
  <si>
    <t xml:space="preserve">Troca de nome, documentos e conservação do vestido</t>
  </si>
  <si>
    <t xml:space="preserve">Prazo negativo = meses depois do casamento</t>
  </si>
  <si>
    <t xml:space="preserve">Álbum e entrega do material</t>
  </si>
  <si>
    <t xml:space="preserve">Total de itens</t>
  </si>
  <si>
    <t xml:space="preserve">Itens essenciais</t>
  </si>
  <si>
    <t xml:space="preserve">Itens só destination</t>
  </si>
  <si>
    <t xml:space="preserve">Itens com prazo depois do casamento</t>
  </si>
  <si>
    <t xml:space="preserve">Simulador de plano e prazos</t>
  </si>
  <si>
    <t xml:space="preserve">Altere os campos em azul com fundo amarelo (exemplo já preenchido).</t>
  </si>
  <si>
    <t xml:space="preserve">Hoje</t>
  </si>
  <si>
    <t xml:space="preserve">Data do casamento</t>
  </si>
  <si>
    <t xml:space="preserve">Estilo do grande dia</t>
  </si>
  <si>
    <t xml:space="preserve">Só o necessário</t>
  </si>
  <si>
    <t xml:space="preserve">Destination wedding?</t>
  </si>
  <si>
    <t xml:space="preserve">Meses disponíveis</t>
  </si>
  <si>
    <t xml:space="preserve">Janela padrão (meses)</t>
  </si>
  <si>
    <t xml:space="preserve">Fator de ajuste</t>
  </si>
  <si>
    <t xml:space="preserve">Nível do estilo</t>
  </si>
  <si>
    <t xml:space="preserve">Itens no plano</t>
  </si>
  <si>
    <t xml:space="preserve">Itens no checklist</t>
  </si>
  <si>
    <t xml:space="preserve">Aviso</t>
  </si>
  <si>
    <t xml:space="preserve">No plano?</t>
  </si>
  <si>
    <t xml:space="preserve">No checklist?</t>
  </si>
  <si>
    <t xml:space="preserve">Prazo ajustado (meses antes)</t>
  </si>
  <si>
    <t xml:space="preserve">Data limite</t>
  </si>
  <si>
    <t xml:space="preserve">Quando vence cada prazo conforme o tempo disponível</t>
  </si>
  <si>
    <t xml:space="preserve">Valores em meses a partir de hoje. Fórmula: meses disponíveis - prazo padrão x fator (fator = menor valor entre 1 e meses disponíveis / janela padrão).</t>
  </si>
  <si>
    <t xml:space="preserve">Meses disponíveis até o casamento</t>
  </si>
  <si>
    <t xml:space="preserve">Exemplo com os valores iniciais: com 18 meses, o prazo de 10 meses antes vence daqui a 8 meses. Com 6 meses, esse mesmo prazo vence daqui a 1 mês, e os demais se espremem na mesma proporção.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</si>
</sst>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m/d/yyyy"/>
    <numFmt numFmtId="167" formatCode="0.0"/>
    <numFmt numFmtId="168" formatCode="0.00"/>
    <numFmt numFmtId="169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B3B3B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B3B3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a1" displayName="Tabela1" ref="A1:K55" headerRowCount="1" totalsRowCount="0" totalsRowShown="0">
  <autoFilter ref="A1:K55">
    <filterColumn colId="7">
      <filters>
        <filter val="Todos"/>
      </filters>
    </filterColumn>
  </autoFilter>
  <tableColumns count="11">
    <tableColumn id="1" name="id"/>
    <tableColumn id="2" name="Categoria"/>
    <tableColumn id="3" name="Item"/>
    <tableColumn id="4" name="Nível (1 a 3)"/>
    <tableColumn id="5" name="Tipo"/>
    <tableColumn id="6" name="Essencial (checklist)"/>
    <tableColumn id="7" name="Origem do essencial"/>
    <tableColumn id="8" name="Destination"/>
    <tableColumn id="9" name="Prazo padrão (meses antes)"/>
    <tableColumn id="10" name="Origem do prazo"/>
    <tableColumn id="11" name="Observa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3" customFormat="false" ht="45" hidden="false" customHeight="true" outlineLevel="0" collapsed="false">
      <c r="A3" s="3" t="s">
        <v>1</v>
      </c>
      <c r="B3" s="4" t="s">
        <v>2</v>
      </c>
    </row>
    <row r="4" customFormat="false" ht="45" hidden="false" customHeight="true" outlineLevel="0" collapsed="false">
      <c r="A4" s="3" t="s">
        <v>3</v>
      </c>
      <c r="B4" s="4" t="s">
        <v>4</v>
      </c>
    </row>
    <row r="5" customFormat="false" ht="30" hidden="false" customHeight="true" outlineLevel="0" collapsed="false">
      <c r="A5" s="3" t="s">
        <v>5</v>
      </c>
      <c r="B5" s="4" t="s">
        <v>6</v>
      </c>
    </row>
    <row r="6" customFormat="false" ht="30" hidden="false" customHeight="true" outlineLevel="0" collapsed="false">
      <c r="A6" s="3" t="s">
        <v>7</v>
      </c>
      <c r="B6" s="4" t="s">
        <v>8</v>
      </c>
    </row>
    <row r="7" customFormat="false" ht="30" hidden="false" customHeight="true" outlineLevel="0" collapsed="false">
      <c r="A7" s="3" t="s">
        <v>9</v>
      </c>
      <c r="B7" s="4" t="s">
        <v>10</v>
      </c>
    </row>
    <row r="8" customFormat="false" ht="30" hidden="false" customHeight="true" outlineLevel="0" collapsed="false">
      <c r="A8" s="3" t="s">
        <v>11</v>
      </c>
      <c r="B8" s="4" t="s">
        <v>12</v>
      </c>
    </row>
    <row r="9" customFormat="false" ht="45" hidden="false" customHeight="true" outlineLevel="0" collapsed="false">
      <c r="A9" s="3" t="s">
        <v>13</v>
      </c>
      <c r="B9" s="4" t="s">
        <v>14</v>
      </c>
    </row>
    <row r="10" customFormat="false" ht="60" hidden="false" customHeight="true" outlineLevel="0" collapsed="false">
      <c r="A10" s="3" t="s">
        <v>15</v>
      </c>
      <c r="B10" s="4" t="s">
        <v>16</v>
      </c>
    </row>
    <row r="11" customFormat="false" ht="30" hidden="false" customHeight="true" outlineLevel="0" collapsed="false">
      <c r="A11" s="3" t="s">
        <v>17</v>
      </c>
      <c r="B11" s="4" t="s">
        <v>18</v>
      </c>
    </row>
    <row r="12" customFormat="false" ht="45" hidden="false" customHeight="true" outlineLevel="0" collapsed="false">
      <c r="A12" s="3" t="s">
        <v>19</v>
      </c>
      <c r="B12" s="4" t="s">
        <v>20</v>
      </c>
    </row>
    <row r="13" customFormat="false" ht="45" hidden="false" customHeight="true" outlineLevel="0" collapsed="false">
      <c r="A13" s="3" t="s">
        <v>21</v>
      </c>
      <c r="B13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I39" activePane="bottomRight" state="frozen"/>
      <selection pane="topLeft" activeCell="A1" activeCellId="0" sqref="A1"/>
      <selection pane="topRight" activeCell="I1" activeCellId="0" sqref="I1"/>
      <selection pane="bottomLeft" activeCell="A39" activeCellId="0" sqref="A39"/>
      <selection pane="bottomRight" activeCell="C50" activeCellId="0" sqref="C5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.29"/>
    <col collapsed="false" customWidth="true" hidden="false" outlineLevel="0" max="2" min="2" style="1" width="25"/>
    <col collapsed="false" customWidth="true" hidden="false" outlineLevel="0" max="3" min="3" style="1" width="53.14"/>
    <col collapsed="false" customWidth="true" hidden="false" outlineLevel="0" max="4" min="4" style="1" width="16.14"/>
    <col collapsed="false" customWidth="true" hidden="false" outlineLevel="0" max="5" min="5" style="1" width="9.57"/>
    <col collapsed="false" customWidth="true" hidden="false" outlineLevel="0" max="6" min="6" style="1" width="23.86"/>
    <col collapsed="false" customWidth="true" hidden="false" outlineLevel="0" max="7" min="7" style="1" width="24.42"/>
    <col collapsed="false" customWidth="true" hidden="false" outlineLevel="0" max="8" min="8" style="1" width="15.71"/>
    <col collapsed="false" customWidth="true" hidden="false" outlineLevel="0" max="9" min="9" style="1" width="31.29"/>
    <col collapsed="false" customWidth="true" hidden="false" outlineLevel="0" max="10" min="10" style="1" width="48.42"/>
    <col collapsed="false" customWidth="true" hidden="false" outlineLevel="0" max="11" min="11" style="1" width="71.57"/>
  </cols>
  <sheetData>
    <row r="1" customFormat="false" ht="31.5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9</v>
      </c>
      <c r="I1" s="5" t="s">
        <v>30</v>
      </c>
      <c r="J1" s="5" t="s">
        <v>31</v>
      </c>
      <c r="K1" s="5" t="s">
        <v>32</v>
      </c>
    </row>
    <row r="2" customFormat="false" ht="15" hidden="false" customHeight="true" outlineLevel="0" collapsed="false">
      <c r="A2" s="6" t="n">
        <v>1</v>
      </c>
      <c r="B2" s="7" t="s">
        <v>33</v>
      </c>
      <c r="C2" s="8" t="s">
        <v>34</v>
      </c>
      <c r="D2" s="9" t="n">
        <v>1</v>
      </c>
      <c r="E2" s="6" t="str">
        <f aca="false">IF(D2=1,"Básico","Adicional")</f>
        <v>Básico</v>
      </c>
      <c r="F2" s="9" t="s">
        <v>35</v>
      </c>
      <c r="G2" s="7" t="s">
        <v>36</v>
      </c>
      <c r="H2" s="9" t="s">
        <v>37</v>
      </c>
      <c r="I2" s="9" t="n">
        <v>12</v>
      </c>
      <c r="J2" s="8" t="s">
        <v>38</v>
      </c>
      <c r="K2" s="8" t="s">
        <v>39</v>
      </c>
    </row>
    <row r="3" customFormat="false" ht="15" hidden="false" customHeight="true" outlineLevel="0" collapsed="false">
      <c r="A3" s="10" t="n">
        <v>2</v>
      </c>
      <c r="B3" s="11" t="s">
        <v>33</v>
      </c>
      <c r="C3" s="12" t="s">
        <v>40</v>
      </c>
      <c r="D3" s="9" t="n">
        <v>1</v>
      </c>
      <c r="E3" s="10" t="str">
        <f aca="false">IF(D3=1,"Básico","Adicional")</f>
        <v>Básico</v>
      </c>
      <c r="F3" s="9" t="s">
        <v>35</v>
      </c>
      <c r="G3" s="11" t="s">
        <v>36</v>
      </c>
      <c r="H3" s="9" t="s">
        <v>37</v>
      </c>
      <c r="I3" s="9" t="n">
        <v>10</v>
      </c>
      <c r="J3" s="12" t="s">
        <v>41</v>
      </c>
      <c r="K3" s="12" t="s">
        <v>42</v>
      </c>
    </row>
    <row r="4" customFormat="false" ht="15" hidden="false" customHeight="true" outlineLevel="0" collapsed="false">
      <c r="A4" s="6" t="n">
        <v>3</v>
      </c>
      <c r="B4" s="7" t="s">
        <v>43</v>
      </c>
      <c r="C4" s="8" t="s">
        <v>44</v>
      </c>
      <c r="D4" s="9" t="n">
        <v>1</v>
      </c>
      <c r="E4" s="6" t="str">
        <f aca="false">IF(D4=1,"Básico","Adicional")</f>
        <v>Básico</v>
      </c>
      <c r="F4" s="9" t="s">
        <v>35</v>
      </c>
      <c r="G4" s="7" t="s">
        <v>36</v>
      </c>
      <c r="H4" s="9" t="s">
        <v>37</v>
      </c>
      <c r="I4" s="9" t="n">
        <v>10</v>
      </c>
      <c r="J4" s="8" t="s">
        <v>41</v>
      </c>
      <c r="K4" s="8" t="s">
        <v>45</v>
      </c>
    </row>
    <row r="5" customFormat="false" ht="15" hidden="false" customHeight="true" outlineLevel="0" collapsed="false">
      <c r="A5" s="10" t="n">
        <v>4</v>
      </c>
      <c r="B5" s="11" t="s">
        <v>43</v>
      </c>
      <c r="C5" s="12" t="s">
        <v>46</v>
      </c>
      <c r="D5" s="9" t="n">
        <v>1</v>
      </c>
      <c r="E5" s="10" t="str">
        <f aca="false">IF(D5=1,"Básico","Adicional")</f>
        <v>Básico</v>
      </c>
      <c r="F5" s="9" t="s">
        <v>35</v>
      </c>
      <c r="G5" s="11" t="s">
        <v>36</v>
      </c>
      <c r="H5" s="9" t="s">
        <v>37</v>
      </c>
      <c r="I5" s="9" t="n">
        <v>10</v>
      </c>
      <c r="J5" s="12" t="s">
        <v>41</v>
      </c>
      <c r="K5" s="12"/>
    </row>
    <row r="6" customFormat="false" ht="15" hidden="false" customHeight="true" outlineLevel="0" collapsed="false">
      <c r="A6" s="6" t="n">
        <v>5</v>
      </c>
      <c r="B6" s="7" t="s">
        <v>47</v>
      </c>
      <c r="C6" s="8" t="s">
        <v>48</v>
      </c>
      <c r="D6" s="9" t="n">
        <v>1</v>
      </c>
      <c r="E6" s="6" t="str">
        <f aca="false">IF(D6=1,"Básico","Adicional")</f>
        <v>Básico</v>
      </c>
      <c r="F6" s="9" t="s">
        <v>35</v>
      </c>
      <c r="G6" s="7" t="s">
        <v>49</v>
      </c>
      <c r="H6" s="9" t="s">
        <v>37</v>
      </c>
      <c r="I6" s="9" t="n">
        <v>10</v>
      </c>
      <c r="J6" s="8" t="s">
        <v>41</v>
      </c>
      <c r="K6" s="8"/>
    </row>
    <row r="7" customFormat="false" ht="15" hidden="false" customHeight="true" outlineLevel="0" collapsed="false">
      <c r="A7" s="10" t="n">
        <v>6</v>
      </c>
      <c r="B7" s="11" t="s">
        <v>47</v>
      </c>
      <c r="C7" s="12" t="s">
        <v>50</v>
      </c>
      <c r="D7" s="9" t="n">
        <v>1</v>
      </c>
      <c r="E7" s="10" t="str">
        <f aca="false">IF(D7=1,"Básico","Adicional")</f>
        <v>Básico</v>
      </c>
      <c r="F7" s="9" t="s">
        <v>35</v>
      </c>
      <c r="G7" s="11" t="s">
        <v>49</v>
      </c>
      <c r="H7" s="9" t="s">
        <v>37</v>
      </c>
      <c r="I7" s="9" t="n">
        <v>10</v>
      </c>
      <c r="J7" s="12" t="s">
        <v>41</v>
      </c>
      <c r="K7" s="12"/>
    </row>
    <row r="8" customFormat="false" ht="15" hidden="false" customHeight="true" outlineLevel="0" collapsed="false">
      <c r="A8" s="6" t="n">
        <v>7</v>
      </c>
      <c r="B8" s="7" t="s">
        <v>47</v>
      </c>
      <c r="C8" s="8" t="s">
        <v>51</v>
      </c>
      <c r="D8" s="9" t="n">
        <v>3</v>
      </c>
      <c r="E8" s="6" t="str">
        <f aca="false">IF(D8=1,"Básico","Adicional")</f>
        <v>Adicional</v>
      </c>
      <c r="F8" s="9" t="s">
        <v>52</v>
      </c>
      <c r="G8" s="7"/>
      <c r="H8" s="9" t="s">
        <v>37</v>
      </c>
      <c r="I8" s="9" t="n">
        <v>10</v>
      </c>
      <c r="J8" s="8" t="s">
        <v>41</v>
      </c>
      <c r="K8" s="8"/>
    </row>
    <row r="9" customFormat="false" ht="15" hidden="false" customHeight="true" outlineLevel="0" collapsed="false">
      <c r="A9" s="10" t="n">
        <v>8</v>
      </c>
      <c r="B9" s="11" t="s">
        <v>53</v>
      </c>
      <c r="C9" s="12" t="s">
        <v>54</v>
      </c>
      <c r="D9" s="9" t="n">
        <v>1</v>
      </c>
      <c r="E9" s="10" t="str">
        <f aca="false">IF(D9=1,"Básico","Adicional")</f>
        <v>Básico</v>
      </c>
      <c r="F9" s="9" t="s">
        <v>35</v>
      </c>
      <c r="G9" s="11" t="s">
        <v>49</v>
      </c>
      <c r="H9" s="9" t="s">
        <v>37</v>
      </c>
      <c r="I9" s="9" t="n">
        <v>10</v>
      </c>
      <c r="J9" s="12" t="s">
        <v>41</v>
      </c>
      <c r="K9" s="12"/>
    </row>
    <row r="10" customFormat="false" ht="15" hidden="false" customHeight="true" outlineLevel="0" collapsed="false">
      <c r="A10" s="6" t="n">
        <v>9</v>
      </c>
      <c r="B10" s="7" t="s">
        <v>53</v>
      </c>
      <c r="C10" s="8" t="s">
        <v>55</v>
      </c>
      <c r="D10" s="9" t="n">
        <v>3</v>
      </c>
      <c r="E10" s="6" t="str">
        <f aca="false">IF(D10=1,"Básico","Adicional")</f>
        <v>Adicional</v>
      </c>
      <c r="F10" s="9" t="s">
        <v>52</v>
      </c>
      <c r="G10" s="7"/>
      <c r="H10" s="9" t="s">
        <v>37</v>
      </c>
      <c r="I10" s="9" t="n">
        <v>10</v>
      </c>
      <c r="J10" s="8" t="s">
        <v>38</v>
      </c>
      <c r="K10" s="8" t="s">
        <v>56</v>
      </c>
    </row>
    <row r="11" customFormat="false" ht="15" hidden="false" customHeight="true" outlineLevel="0" collapsed="false">
      <c r="A11" s="10" t="n">
        <v>10</v>
      </c>
      <c r="B11" s="11" t="s">
        <v>43</v>
      </c>
      <c r="C11" s="12" t="s">
        <v>57</v>
      </c>
      <c r="D11" s="9" t="n">
        <v>1</v>
      </c>
      <c r="E11" s="10" t="str">
        <f aca="false">IF(D11=1,"Básico","Adicional")</f>
        <v>Básico</v>
      </c>
      <c r="F11" s="9" t="s">
        <v>35</v>
      </c>
      <c r="G11" s="11" t="s">
        <v>49</v>
      </c>
      <c r="H11" s="9" t="s">
        <v>37</v>
      </c>
      <c r="I11" s="9" t="n">
        <v>10</v>
      </c>
      <c r="J11" s="12" t="s">
        <v>41</v>
      </c>
      <c r="K11" s="12" t="s">
        <v>58</v>
      </c>
    </row>
    <row r="12" customFormat="false" ht="15" hidden="false" customHeight="true" outlineLevel="0" collapsed="false">
      <c r="A12" s="6" t="n">
        <v>11</v>
      </c>
      <c r="B12" s="7" t="s">
        <v>43</v>
      </c>
      <c r="C12" s="8" t="s">
        <v>59</v>
      </c>
      <c r="D12" s="9" t="n">
        <v>1</v>
      </c>
      <c r="E12" s="6" t="str">
        <f aca="false">IF(D12=1,"Básico","Adicional")</f>
        <v>Básico</v>
      </c>
      <c r="F12" s="9" t="s">
        <v>35</v>
      </c>
      <c r="G12" s="7" t="s">
        <v>49</v>
      </c>
      <c r="H12" s="9" t="s">
        <v>37</v>
      </c>
      <c r="I12" s="9" t="n">
        <v>10</v>
      </c>
      <c r="J12" s="8" t="s">
        <v>41</v>
      </c>
      <c r="K12" s="8"/>
    </row>
    <row r="13" customFormat="false" ht="15" hidden="true" customHeight="true" outlineLevel="0" collapsed="false">
      <c r="A13" s="10" t="n">
        <v>12</v>
      </c>
      <c r="B13" s="11" t="s">
        <v>60</v>
      </c>
      <c r="C13" s="12" t="s">
        <v>61</v>
      </c>
      <c r="D13" s="9" t="n">
        <v>3</v>
      </c>
      <c r="E13" s="10" t="str">
        <f aca="false">IF(D13=1,"Básico","Adicional")</f>
        <v>Adicional</v>
      </c>
      <c r="F13" s="9" t="s">
        <v>52</v>
      </c>
      <c r="G13" s="11"/>
      <c r="H13" s="9" t="s">
        <v>37</v>
      </c>
      <c r="I13" s="9" t="n">
        <v>10</v>
      </c>
      <c r="J13" s="12" t="s">
        <v>41</v>
      </c>
      <c r="K13" s="12"/>
    </row>
    <row r="14" customFormat="false" ht="15" hidden="false" customHeight="true" outlineLevel="0" collapsed="false">
      <c r="A14" s="6" t="n">
        <v>13</v>
      </c>
      <c r="B14" s="7" t="s">
        <v>62</v>
      </c>
      <c r="C14" s="8" t="s">
        <v>63</v>
      </c>
      <c r="D14" s="9" t="n">
        <v>1</v>
      </c>
      <c r="E14" s="6" t="str">
        <f aca="false">IF(D14=1,"Básico","Adicional")</f>
        <v>Básico</v>
      </c>
      <c r="F14" s="9" t="s">
        <v>52</v>
      </c>
      <c r="G14" s="7"/>
      <c r="H14" s="9" t="s">
        <v>64</v>
      </c>
      <c r="I14" s="9" t="n">
        <v>10</v>
      </c>
      <c r="J14" s="8" t="s">
        <v>41</v>
      </c>
      <c r="K14" s="8" t="s">
        <v>65</v>
      </c>
    </row>
    <row r="15" customFormat="false" ht="15" hidden="false" customHeight="true" outlineLevel="0" collapsed="false">
      <c r="A15" s="10" t="n">
        <v>14</v>
      </c>
      <c r="B15" s="11" t="s">
        <v>33</v>
      </c>
      <c r="C15" s="12" t="s">
        <v>66</v>
      </c>
      <c r="D15" s="9" t="n">
        <v>1</v>
      </c>
      <c r="E15" s="10" t="str">
        <f aca="false">IF(D15=1,"Básico","Adicional")</f>
        <v>Básico</v>
      </c>
      <c r="F15" s="9" t="s">
        <v>35</v>
      </c>
      <c r="G15" s="11" t="s">
        <v>36</v>
      </c>
      <c r="H15" s="9" t="s">
        <v>64</v>
      </c>
      <c r="I15" s="9" t="n">
        <v>10</v>
      </c>
      <c r="J15" s="12" t="s">
        <v>38</v>
      </c>
      <c r="K15" s="12" t="s">
        <v>65</v>
      </c>
    </row>
    <row r="16" customFormat="false" ht="15" hidden="false" customHeight="true" outlineLevel="0" collapsed="false">
      <c r="A16" s="6" t="n">
        <v>15</v>
      </c>
      <c r="B16" s="7" t="s">
        <v>62</v>
      </c>
      <c r="C16" s="8" t="s">
        <v>67</v>
      </c>
      <c r="D16" s="9" t="n">
        <v>1</v>
      </c>
      <c r="E16" s="6" t="str">
        <f aca="false">IF(D16=1,"Básico","Adicional")</f>
        <v>Básico</v>
      </c>
      <c r="F16" s="9" t="s">
        <v>52</v>
      </c>
      <c r="G16" s="7"/>
      <c r="H16" s="9" t="s">
        <v>64</v>
      </c>
      <c r="I16" s="9" t="n">
        <v>10</v>
      </c>
      <c r="J16" s="8" t="s">
        <v>38</v>
      </c>
      <c r="K16" s="8" t="s">
        <v>65</v>
      </c>
    </row>
    <row r="17" customFormat="false" ht="15" hidden="false" customHeight="true" outlineLevel="0" collapsed="false">
      <c r="A17" s="10" t="n">
        <v>16</v>
      </c>
      <c r="B17" s="11" t="s">
        <v>33</v>
      </c>
      <c r="C17" s="12" t="s">
        <v>68</v>
      </c>
      <c r="D17" s="9" t="n">
        <v>1</v>
      </c>
      <c r="E17" s="10" t="str">
        <f aca="false">IF(D17=1,"Básico","Adicional")</f>
        <v>Básico</v>
      </c>
      <c r="F17" s="9" t="s">
        <v>35</v>
      </c>
      <c r="G17" s="11" t="s">
        <v>49</v>
      </c>
      <c r="H17" s="9" t="s">
        <v>37</v>
      </c>
      <c r="I17" s="9" t="n">
        <v>7</v>
      </c>
      <c r="J17" s="12" t="s">
        <v>69</v>
      </c>
      <c r="K17" s="12" t="s">
        <v>70</v>
      </c>
    </row>
    <row r="18" customFormat="false" ht="15" hidden="false" customHeight="true" outlineLevel="0" collapsed="false">
      <c r="A18" s="6" t="n">
        <v>17</v>
      </c>
      <c r="B18" s="7" t="s">
        <v>33</v>
      </c>
      <c r="C18" s="8" t="s">
        <v>71</v>
      </c>
      <c r="D18" s="9" t="n">
        <v>1</v>
      </c>
      <c r="E18" s="6" t="str">
        <f aca="false">IF(D18=1,"Básico","Adicional")</f>
        <v>Básico</v>
      </c>
      <c r="F18" s="9" t="s">
        <v>35</v>
      </c>
      <c r="G18" s="7" t="s">
        <v>49</v>
      </c>
      <c r="H18" s="9" t="s">
        <v>37</v>
      </c>
      <c r="I18" s="9" t="n">
        <v>7</v>
      </c>
      <c r="J18" s="8" t="s">
        <v>69</v>
      </c>
      <c r="K18" s="8" t="s">
        <v>72</v>
      </c>
    </row>
    <row r="19" customFormat="false" ht="15" hidden="false" customHeight="true" outlineLevel="0" collapsed="false">
      <c r="A19" s="10" t="n">
        <v>18</v>
      </c>
      <c r="B19" s="11" t="s">
        <v>47</v>
      </c>
      <c r="C19" s="12" t="s">
        <v>73</v>
      </c>
      <c r="D19" s="9" t="n">
        <v>2</v>
      </c>
      <c r="E19" s="10" t="str">
        <f aca="false">IF(D19=1,"Básico","Adicional")</f>
        <v>Adicional</v>
      </c>
      <c r="F19" s="9" t="s">
        <v>52</v>
      </c>
      <c r="G19" s="11"/>
      <c r="H19" s="9" t="s">
        <v>37</v>
      </c>
      <c r="I19" s="9" t="n">
        <v>7</v>
      </c>
      <c r="J19" s="12" t="s">
        <v>38</v>
      </c>
      <c r="K19" s="12" t="s">
        <v>74</v>
      </c>
    </row>
    <row r="20" customFormat="false" ht="15" hidden="false" customHeight="true" outlineLevel="0" collapsed="false">
      <c r="A20" s="6" t="n">
        <v>19</v>
      </c>
      <c r="B20" s="7" t="s">
        <v>75</v>
      </c>
      <c r="C20" s="8" t="s">
        <v>76</v>
      </c>
      <c r="D20" s="9" t="n">
        <v>1</v>
      </c>
      <c r="E20" s="6" t="str">
        <f aca="false">IF(D20=1,"Básico","Adicional")</f>
        <v>Básico</v>
      </c>
      <c r="F20" s="9" t="s">
        <v>35</v>
      </c>
      <c r="G20" s="7" t="s">
        <v>49</v>
      </c>
      <c r="H20" s="9" t="s">
        <v>37</v>
      </c>
      <c r="I20" s="9" t="n">
        <v>7</v>
      </c>
      <c r="J20" s="8" t="s">
        <v>69</v>
      </c>
      <c r="K20" s="8" t="s">
        <v>77</v>
      </c>
    </row>
    <row r="21" customFormat="false" ht="15" hidden="false" customHeight="true" outlineLevel="0" collapsed="false">
      <c r="A21" s="10" t="n">
        <v>20</v>
      </c>
      <c r="B21" s="11" t="s">
        <v>62</v>
      </c>
      <c r="C21" s="12" t="s">
        <v>78</v>
      </c>
      <c r="D21" s="9" t="n">
        <v>1</v>
      </c>
      <c r="E21" s="10" t="str">
        <f aca="false">IF(D21=1,"Básico","Adicional")</f>
        <v>Básico</v>
      </c>
      <c r="F21" s="9" t="s">
        <v>52</v>
      </c>
      <c r="G21" s="11"/>
      <c r="H21" s="9" t="s">
        <v>64</v>
      </c>
      <c r="I21" s="9" t="n">
        <v>7</v>
      </c>
      <c r="J21" s="12" t="s">
        <v>38</v>
      </c>
      <c r="K21" s="12" t="s">
        <v>65</v>
      </c>
    </row>
    <row r="22" customFormat="false" ht="15" hidden="false" customHeight="true" outlineLevel="0" collapsed="false">
      <c r="A22" s="6" t="n">
        <v>21</v>
      </c>
      <c r="B22" s="7" t="s">
        <v>33</v>
      </c>
      <c r="C22" s="8" t="s">
        <v>79</v>
      </c>
      <c r="D22" s="9" t="n">
        <v>3</v>
      </c>
      <c r="E22" s="6" t="str">
        <f aca="false">IF(D22=1,"Básico","Adicional")</f>
        <v>Adicional</v>
      </c>
      <c r="F22" s="9" t="s">
        <v>52</v>
      </c>
      <c r="G22" s="7"/>
      <c r="H22" s="9" t="s">
        <v>37</v>
      </c>
      <c r="I22" s="9" t="n">
        <v>7</v>
      </c>
      <c r="J22" s="8" t="s">
        <v>38</v>
      </c>
      <c r="K22" s="8" t="s">
        <v>80</v>
      </c>
    </row>
    <row r="23" customFormat="false" ht="15" hidden="false" customHeight="true" outlineLevel="0" collapsed="false">
      <c r="A23" s="10" t="n">
        <v>22</v>
      </c>
      <c r="B23" s="11" t="s">
        <v>60</v>
      </c>
      <c r="C23" s="12" t="s">
        <v>81</v>
      </c>
      <c r="D23" s="9" t="n">
        <v>2</v>
      </c>
      <c r="E23" s="10" t="str">
        <f aca="false">IF(D23=1,"Básico","Adicional")</f>
        <v>Adicional</v>
      </c>
      <c r="F23" s="9" t="s">
        <v>52</v>
      </c>
      <c r="G23" s="11"/>
      <c r="H23" s="9" t="s">
        <v>37</v>
      </c>
      <c r="I23" s="9" t="n">
        <v>7</v>
      </c>
      <c r="J23" s="12" t="s">
        <v>38</v>
      </c>
      <c r="K23" s="12" t="s">
        <v>82</v>
      </c>
    </row>
    <row r="24" customFormat="false" ht="15" hidden="false" customHeight="true" outlineLevel="0" collapsed="false">
      <c r="A24" s="6" t="n">
        <v>23</v>
      </c>
      <c r="B24" s="7" t="s">
        <v>53</v>
      </c>
      <c r="C24" s="8" t="s">
        <v>83</v>
      </c>
      <c r="D24" s="9" t="n">
        <v>3</v>
      </c>
      <c r="E24" s="6" t="str">
        <f aca="false">IF(D24=1,"Básico","Adicional")</f>
        <v>Adicional</v>
      </c>
      <c r="F24" s="9" t="s">
        <v>52</v>
      </c>
      <c r="G24" s="7"/>
      <c r="H24" s="9" t="s">
        <v>37</v>
      </c>
      <c r="I24" s="9" t="n">
        <v>7</v>
      </c>
      <c r="J24" s="8" t="s">
        <v>38</v>
      </c>
      <c r="K24" s="8" t="s">
        <v>56</v>
      </c>
    </row>
    <row r="25" customFormat="false" ht="15" hidden="false" customHeight="true" outlineLevel="0" collapsed="false">
      <c r="A25" s="10" t="n">
        <v>24</v>
      </c>
      <c r="B25" s="11" t="s">
        <v>62</v>
      </c>
      <c r="C25" s="12" t="s">
        <v>84</v>
      </c>
      <c r="D25" s="9" t="n">
        <v>2</v>
      </c>
      <c r="E25" s="10" t="str">
        <f aca="false">IF(D25=1,"Básico","Adicional")</f>
        <v>Adicional</v>
      </c>
      <c r="F25" s="9" t="s">
        <v>52</v>
      </c>
      <c r="G25" s="11"/>
      <c r="H25" s="9" t="s">
        <v>37</v>
      </c>
      <c r="I25" s="9" t="n">
        <v>7</v>
      </c>
      <c r="J25" s="12" t="s">
        <v>38</v>
      </c>
      <c r="K25" s="12" t="s">
        <v>85</v>
      </c>
    </row>
    <row r="26" customFormat="false" ht="15" hidden="false" customHeight="true" outlineLevel="0" collapsed="false">
      <c r="A26" s="6" t="n">
        <v>25</v>
      </c>
      <c r="B26" s="7" t="s">
        <v>33</v>
      </c>
      <c r="C26" s="8" t="s">
        <v>86</v>
      </c>
      <c r="D26" s="9" t="n">
        <v>1</v>
      </c>
      <c r="E26" s="6" t="str">
        <f aca="false">IF(D26=1,"Básico","Adicional")</f>
        <v>Básico</v>
      </c>
      <c r="F26" s="9" t="s">
        <v>52</v>
      </c>
      <c r="G26" s="7"/>
      <c r="H26" s="9" t="s">
        <v>64</v>
      </c>
      <c r="I26" s="9" t="n">
        <v>7</v>
      </c>
      <c r="J26" s="8" t="s">
        <v>38</v>
      </c>
      <c r="K26" s="8" t="s">
        <v>65</v>
      </c>
    </row>
    <row r="27" customFormat="false" ht="15" hidden="false" customHeight="true" outlineLevel="0" collapsed="false">
      <c r="A27" s="10" t="n">
        <v>26</v>
      </c>
      <c r="B27" s="11" t="s">
        <v>47</v>
      </c>
      <c r="C27" s="12" t="s">
        <v>87</v>
      </c>
      <c r="D27" s="9" t="n">
        <v>1</v>
      </c>
      <c r="E27" s="10" t="str">
        <f aca="false">IF(D27=1,"Básico","Adicional")</f>
        <v>Básico</v>
      </c>
      <c r="F27" s="9" t="s">
        <v>52</v>
      </c>
      <c r="G27" s="11"/>
      <c r="H27" s="9" t="s">
        <v>37</v>
      </c>
      <c r="I27" s="9" t="n">
        <v>4</v>
      </c>
      <c r="J27" s="12" t="s">
        <v>88</v>
      </c>
      <c r="K27" s="12"/>
    </row>
    <row r="28" customFormat="false" ht="15" hidden="false" customHeight="true" outlineLevel="0" collapsed="false">
      <c r="A28" s="6" t="n">
        <v>27</v>
      </c>
      <c r="B28" s="7" t="s">
        <v>47</v>
      </c>
      <c r="C28" s="8" t="s">
        <v>89</v>
      </c>
      <c r="D28" s="9" t="n">
        <v>1</v>
      </c>
      <c r="E28" s="6" t="str">
        <f aca="false">IF(D28=1,"Básico","Adicional")</f>
        <v>Básico</v>
      </c>
      <c r="F28" s="9" t="s">
        <v>35</v>
      </c>
      <c r="G28" s="7" t="s">
        <v>49</v>
      </c>
      <c r="H28" s="9" t="s">
        <v>37</v>
      </c>
      <c r="I28" s="9" t="n">
        <v>4</v>
      </c>
      <c r="J28" s="8" t="s">
        <v>88</v>
      </c>
      <c r="K28" s="8"/>
    </row>
    <row r="29" customFormat="false" ht="15" hidden="false" customHeight="true" outlineLevel="0" collapsed="false">
      <c r="A29" s="10" t="n">
        <v>28</v>
      </c>
      <c r="B29" s="11" t="s">
        <v>60</v>
      </c>
      <c r="C29" s="12" t="s">
        <v>90</v>
      </c>
      <c r="D29" s="9" t="n">
        <v>1</v>
      </c>
      <c r="E29" s="10" t="str">
        <f aca="false">IF(D29=1,"Básico","Adicional")</f>
        <v>Básico</v>
      </c>
      <c r="F29" s="9" t="s">
        <v>35</v>
      </c>
      <c r="G29" s="11" t="s">
        <v>49</v>
      </c>
      <c r="H29" s="9" t="s">
        <v>37</v>
      </c>
      <c r="I29" s="9" t="n">
        <v>4</v>
      </c>
      <c r="J29" s="12" t="s">
        <v>88</v>
      </c>
      <c r="K29" s="12"/>
    </row>
    <row r="30" customFormat="false" ht="15" hidden="false" customHeight="true" outlineLevel="0" collapsed="false">
      <c r="A30" s="6" t="n">
        <v>29</v>
      </c>
      <c r="B30" s="7" t="s">
        <v>75</v>
      </c>
      <c r="C30" s="8" t="s">
        <v>91</v>
      </c>
      <c r="D30" s="9" t="n">
        <v>1</v>
      </c>
      <c r="E30" s="6" t="str">
        <f aca="false">IF(D30=1,"Básico","Adicional")</f>
        <v>Básico</v>
      </c>
      <c r="F30" s="9" t="s">
        <v>35</v>
      </c>
      <c r="G30" s="7" t="s">
        <v>49</v>
      </c>
      <c r="H30" s="9" t="s">
        <v>37</v>
      </c>
      <c r="I30" s="9" t="n">
        <v>4</v>
      </c>
      <c r="J30" s="8" t="s">
        <v>88</v>
      </c>
      <c r="K30" s="8"/>
    </row>
    <row r="31" customFormat="false" ht="15" hidden="false" customHeight="true" outlineLevel="0" collapsed="false">
      <c r="A31" s="10" t="n">
        <v>30</v>
      </c>
      <c r="B31" s="11" t="s">
        <v>75</v>
      </c>
      <c r="C31" s="12" t="s">
        <v>92</v>
      </c>
      <c r="D31" s="9" t="n">
        <v>2</v>
      </c>
      <c r="E31" s="10" t="str">
        <f aca="false">IF(D31=1,"Básico","Adicional")</f>
        <v>Adicional</v>
      </c>
      <c r="F31" s="9" t="s">
        <v>52</v>
      </c>
      <c r="G31" s="11"/>
      <c r="H31" s="9" t="s">
        <v>37</v>
      </c>
      <c r="I31" s="9" t="n">
        <v>4</v>
      </c>
      <c r="J31" s="12" t="s">
        <v>88</v>
      </c>
      <c r="K31" s="12"/>
    </row>
    <row r="32" customFormat="false" ht="15" hidden="false" customHeight="true" outlineLevel="0" collapsed="false">
      <c r="A32" s="6" t="n">
        <v>31</v>
      </c>
      <c r="B32" s="7" t="s">
        <v>62</v>
      </c>
      <c r="C32" s="8" t="s">
        <v>93</v>
      </c>
      <c r="D32" s="9" t="n">
        <v>2</v>
      </c>
      <c r="E32" s="6" t="str">
        <f aca="false">IF(D32=1,"Básico","Adicional")</f>
        <v>Adicional</v>
      </c>
      <c r="F32" s="9" t="s">
        <v>35</v>
      </c>
      <c r="G32" s="7" t="s">
        <v>49</v>
      </c>
      <c r="H32" s="9" t="s">
        <v>37</v>
      </c>
      <c r="I32" s="9" t="n">
        <v>4</v>
      </c>
      <c r="J32" s="8" t="s">
        <v>88</v>
      </c>
      <c r="K32" s="8"/>
    </row>
    <row r="33" customFormat="false" ht="15" hidden="false" customHeight="true" outlineLevel="0" collapsed="false">
      <c r="A33" s="10" t="n">
        <v>32</v>
      </c>
      <c r="B33" s="11" t="s">
        <v>62</v>
      </c>
      <c r="C33" s="12" t="s">
        <v>94</v>
      </c>
      <c r="D33" s="9" t="n">
        <v>2</v>
      </c>
      <c r="E33" s="10" t="str">
        <f aca="false">IF(D33=1,"Básico","Adicional")</f>
        <v>Adicional</v>
      </c>
      <c r="F33" s="9" t="s">
        <v>35</v>
      </c>
      <c r="G33" s="11" t="s">
        <v>49</v>
      </c>
      <c r="H33" s="9" t="s">
        <v>37</v>
      </c>
      <c r="I33" s="9" t="n">
        <v>4</v>
      </c>
      <c r="J33" s="12" t="s">
        <v>88</v>
      </c>
      <c r="K33" s="12" t="s">
        <v>95</v>
      </c>
    </row>
    <row r="34" customFormat="false" ht="15" hidden="false" customHeight="true" outlineLevel="0" collapsed="false">
      <c r="A34" s="6" t="n">
        <v>33</v>
      </c>
      <c r="B34" s="7" t="s">
        <v>96</v>
      </c>
      <c r="C34" s="8" t="s">
        <v>97</v>
      </c>
      <c r="D34" s="9" t="n">
        <v>3</v>
      </c>
      <c r="E34" s="6" t="str">
        <f aca="false">IF(D34=1,"Básico","Adicional")</f>
        <v>Adicional</v>
      </c>
      <c r="F34" s="9" t="s">
        <v>52</v>
      </c>
      <c r="G34" s="7"/>
      <c r="H34" s="9" t="s">
        <v>37</v>
      </c>
      <c r="I34" s="9" t="n">
        <v>4</v>
      </c>
      <c r="J34" s="8" t="s">
        <v>88</v>
      </c>
      <c r="K34" s="8" t="s">
        <v>98</v>
      </c>
    </row>
    <row r="35" customFormat="false" ht="15" hidden="false" customHeight="true" outlineLevel="0" collapsed="false">
      <c r="A35" s="10" t="n">
        <v>34</v>
      </c>
      <c r="B35" s="11" t="s">
        <v>47</v>
      </c>
      <c r="C35" s="12" t="s">
        <v>99</v>
      </c>
      <c r="D35" s="9" t="n">
        <v>2</v>
      </c>
      <c r="E35" s="10" t="str">
        <f aca="false">IF(D35=1,"Básico","Adicional")</f>
        <v>Adicional</v>
      </c>
      <c r="F35" s="9" t="s">
        <v>52</v>
      </c>
      <c r="G35" s="11"/>
      <c r="H35" s="9" t="s">
        <v>37</v>
      </c>
      <c r="I35" s="9" t="n">
        <v>4</v>
      </c>
      <c r="J35" s="12" t="s">
        <v>38</v>
      </c>
      <c r="K35" s="12" t="s">
        <v>100</v>
      </c>
    </row>
    <row r="36" customFormat="false" ht="15" hidden="false" customHeight="true" outlineLevel="0" collapsed="false">
      <c r="A36" s="6" t="n">
        <v>35</v>
      </c>
      <c r="B36" s="7" t="s">
        <v>47</v>
      </c>
      <c r="C36" s="8" t="s">
        <v>101</v>
      </c>
      <c r="D36" s="9" t="n">
        <v>2</v>
      </c>
      <c r="E36" s="6" t="str">
        <f aca="false">IF(D36=1,"Básico","Adicional")</f>
        <v>Adicional</v>
      </c>
      <c r="F36" s="9" t="s">
        <v>52</v>
      </c>
      <c r="G36" s="7"/>
      <c r="H36" s="9" t="s">
        <v>37</v>
      </c>
      <c r="I36" s="9" t="n">
        <v>4</v>
      </c>
      <c r="J36" s="8" t="s">
        <v>38</v>
      </c>
      <c r="K36" s="8" t="s">
        <v>102</v>
      </c>
    </row>
    <row r="37" customFormat="false" ht="15" hidden="false" customHeight="true" outlineLevel="0" collapsed="false">
      <c r="A37" s="10" t="n">
        <v>36</v>
      </c>
      <c r="B37" s="11" t="s">
        <v>96</v>
      </c>
      <c r="C37" s="12" t="s">
        <v>103</v>
      </c>
      <c r="D37" s="9" t="n">
        <v>3</v>
      </c>
      <c r="E37" s="10" t="str">
        <f aca="false">IF(D37=1,"Básico","Adicional")</f>
        <v>Adicional</v>
      </c>
      <c r="F37" s="9" t="s">
        <v>52</v>
      </c>
      <c r="G37" s="11"/>
      <c r="H37" s="9" t="s">
        <v>37</v>
      </c>
      <c r="I37" s="9" t="n">
        <v>4</v>
      </c>
      <c r="J37" s="12" t="s">
        <v>38</v>
      </c>
      <c r="K37" s="12"/>
    </row>
    <row r="38" customFormat="false" ht="15" hidden="false" customHeight="true" outlineLevel="0" collapsed="false">
      <c r="A38" s="6" t="n">
        <v>37</v>
      </c>
      <c r="B38" s="7" t="s">
        <v>60</v>
      </c>
      <c r="C38" s="8" t="s">
        <v>104</v>
      </c>
      <c r="D38" s="9" t="n">
        <v>3</v>
      </c>
      <c r="E38" s="6" t="str">
        <f aca="false">IF(D38=1,"Básico","Adicional")</f>
        <v>Adicional</v>
      </c>
      <c r="F38" s="9" t="s">
        <v>52</v>
      </c>
      <c r="G38" s="7"/>
      <c r="H38" s="9" t="s">
        <v>37</v>
      </c>
      <c r="I38" s="9" t="n">
        <v>4</v>
      </c>
      <c r="J38" s="8" t="s">
        <v>38</v>
      </c>
      <c r="K38" s="8"/>
    </row>
    <row r="39" customFormat="false" ht="15" hidden="false" customHeight="true" outlineLevel="0" collapsed="false">
      <c r="A39" s="10" t="n">
        <v>38</v>
      </c>
      <c r="B39" s="11" t="s">
        <v>47</v>
      </c>
      <c r="C39" s="12" t="s">
        <v>105</v>
      </c>
      <c r="D39" s="9" t="n">
        <v>3</v>
      </c>
      <c r="E39" s="10" t="str">
        <f aca="false">IF(D39=1,"Básico","Adicional")</f>
        <v>Adicional</v>
      </c>
      <c r="F39" s="9" t="s">
        <v>52</v>
      </c>
      <c r="G39" s="11"/>
      <c r="H39" s="9" t="s">
        <v>37</v>
      </c>
      <c r="I39" s="9" t="n">
        <v>4</v>
      </c>
      <c r="J39" s="12" t="s">
        <v>38</v>
      </c>
      <c r="K39" s="12"/>
    </row>
    <row r="40" customFormat="false" ht="15" hidden="false" customHeight="true" outlineLevel="0" collapsed="false">
      <c r="A40" s="6" t="n">
        <v>39</v>
      </c>
      <c r="B40" s="7" t="s">
        <v>33</v>
      </c>
      <c r="C40" s="8" t="s">
        <v>106</v>
      </c>
      <c r="D40" s="9" t="n">
        <v>3</v>
      </c>
      <c r="E40" s="6" t="str">
        <f aca="false">IF(D40=1,"Básico","Adicional")</f>
        <v>Adicional</v>
      </c>
      <c r="F40" s="9" t="s">
        <v>52</v>
      </c>
      <c r="G40" s="7"/>
      <c r="H40" s="9" t="s">
        <v>37</v>
      </c>
      <c r="I40" s="9" t="n">
        <v>4</v>
      </c>
      <c r="J40" s="8" t="s">
        <v>38</v>
      </c>
      <c r="K40" s="8"/>
    </row>
    <row r="41" customFormat="false" ht="15" hidden="false" customHeight="true" outlineLevel="0" collapsed="false">
      <c r="A41" s="10" t="n">
        <v>40</v>
      </c>
      <c r="B41" s="11" t="s">
        <v>96</v>
      </c>
      <c r="C41" s="12" t="s">
        <v>107</v>
      </c>
      <c r="D41" s="9" t="n">
        <v>3</v>
      </c>
      <c r="E41" s="10" t="str">
        <f aca="false">IF(D41=1,"Básico","Adicional")</f>
        <v>Adicional</v>
      </c>
      <c r="F41" s="9" t="s">
        <v>52</v>
      </c>
      <c r="G41" s="11"/>
      <c r="H41" s="9" t="s">
        <v>37</v>
      </c>
      <c r="I41" s="9" t="n">
        <v>4</v>
      </c>
      <c r="J41" s="12" t="s">
        <v>38</v>
      </c>
      <c r="K41" s="12" t="s">
        <v>108</v>
      </c>
    </row>
    <row r="42" customFormat="false" ht="15" hidden="false" customHeight="true" outlineLevel="0" collapsed="false">
      <c r="A42" s="6" t="n">
        <v>41</v>
      </c>
      <c r="B42" s="7" t="s">
        <v>47</v>
      </c>
      <c r="C42" s="8" t="s">
        <v>109</v>
      </c>
      <c r="D42" s="9" t="n">
        <v>1</v>
      </c>
      <c r="E42" s="6" t="str">
        <f aca="false">IF(D42=1,"Básico","Adicional")</f>
        <v>Básico</v>
      </c>
      <c r="F42" s="9" t="s">
        <v>35</v>
      </c>
      <c r="G42" s="7" t="s">
        <v>49</v>
      </c>
      <c r="H42" s="9" t="s">
        <v>37</v>
      </c>
      <c r="I42" s="9" t="n">
        <v>2</v>
      </c>
      <c r="J42" s="8" t="s">
        <v>110</v>
      </c>
      <c r="K42" s="8"/>
    </row>
    <row r="43" customFormat="false" ht="15" hidden="false" customHeight="true" outlineLevel="0" collapsed="false">
      <c r="A43" s="10" t="n">
        <v>42</v>
      </c>
      <c r="B43" s="11" t="s">
        <v>75</v>
      </c>
      <c r="C43" s="12" t="s">
        <v>111</v>
      </c>
      <c r="D43" s="9" t="n">
        <v>1</v>
      </c>
      <c r="E43" s="10" t="str">
        <f aca="false">IF(D43=1,"Básico","Adicional")</f>
        <v>Básico</v>
      </c>
      <c r="F43" s="9" t="s">
        <v>35</v>
      </c>
      <c r="G43" s="11" t="s">
        <v>49</v>
      </c>
      <c r="H43" s="9" t="s">
        <v>37</v>
      </c>
      <c r="I43" s="9" t="n">
        <v>2</v>
      </c>
      <c r="J43" s="12" t="s">
        <v>110</v>
      </c>
      <c r="K43" s="12" t="s">
        <v>112</v>
      </c>
    </row>
    <row r="44" customFormat="false" ht="15" hidden="false" customHeight="true" outlineLevel="0" collapsed="false">
      <c r="A44" s="6" t="n">
        <v>43</v>
      </c>
      <c r="B44" s="7" t="s">
        <v>43</v>
      </c>
      <c r="C44" s="8" t="s">
        <v>113</v>
      </c>
      <c r="D44" s="9" t="n">
        <v>1</v>
      </c>
      <c r="E44" s="6" t="str">
        <f aca="false">IF(D44=1,"Básico","Adicional")</f>
        <v>Básico</v>
      </c>
      <c r="F44" s="9" t="s">
        <v>35</v>
      </c>
      <c r="G44" s="7" t="s">
        <v>49</v>
      </c>
      <c r="H44" s="9" t="s">
        <v>37</v>
      </c>
      <c r="I44" s="9" t="n">
        <v>2</v>
      </c>
      <c r="J44" s="8" t="s">
        <v>110</v>
      </c>
      <c r="K44" s="8" t="s">
        <v>114</v>
      </c>
    </row>
    <row r="45" customFormat="false" ht="15" hidden="false" customHeight="true" outlineLevel="0" collapsed="false">
      <c r="A45" s="10" t="n">
        <v>44</v>
      </c>
      <c r="B45" s="11" t="s">
        <v>75</v>
      </c>
      <c r="C45" s="12" t="s">
        <v>115</v>
      </c>
      <c r="D45" s="9" t="n">
        <v>1</v>
      </c>
      <c r="E45" s="10" t="str">
        <f aca="false">IF(D45=1,"Básico","Adicional")</f>
        <v>Básico</v>
      </c>
      <c r="F45" s="9" t="s">
        <v>35</v>
      </c>
      <c r="G45" s="11" t="s">
        <v>49</v>
      </c>
      <c r="H45" s="9" t="s">
        <v>37</v>
      </c>
      <c r="I45" s="9" t="n">
        <v>2</v>
      </c>
      <c r="J45" s="12" t="s">
        <v>110</v>
      </c>
      <c r="K45" s="12"/>
    </row>
    <row r="46" customFormat="false" ht="15" hidden="false" customHeight="true" outlineLevel="0" collapsed="false">
      <c r="A46" s="6" t="n">
        <v>45</v>
      </c>
      <c r="B46" s="7" t="s">
        <v>75</v>
      </c>
      <c r="C46" s="8" t="s">
        <v>116</v>
      </c>
      <c r="D46" s="9" t="n">
        <v>2</v>
      </c>
      <c r="E46" s="6" t="str">
        <f aca="false">IF(D46=1,"Básico","Adicional")</f>
        <v>Adicional</v>
      </c>
      <c r="F46" s="9" t="s">
        <v>52</v>
      </c>
      <c r="G46" s="7"/>
      <c r="H46" s="9" t="s">
        <v>37</v>
      </c>
      <c r="I46" s="9" t="n">
        <v>2</v>
      </c>
      <c r="J46" s="8" t="s">
        <v>110</v>
      </c>
      <c r="K46" s="8" t="s">
        <v>117</v>
      </c>
    </row>
    <row r="47" customFormat="false" ht="15" hidden="false" customHeight="true" outlineLevel="0" collapsed="false">
      <c r="A47" s="10" t="n">
        <v>46</v>
      </c>
      <c r="B47" s="11" t="s">
        <v>62</v>
      </c>
      <c r="C47" s="12" t="s">
        <v>118</v>
      </c>
      <c r="D47" s="9" t="n">
        <v>2</v>
      </c>
      <c r="E47" s="10" t="str">
        <f aca="false">IF(D47=1,"Básico","Adicional")</f>
        <v>Adicional</v>
      </c>
      <c r="F47" s="9" t="s">
        <v>35</v>
      </c>
      <c r="G47" s="11" t="s">
        <v>49</v>
      </c>
      <c r="H47" s="9" t="s">
        <v>37</v>
      </c>
      <c r="I47" s="9" t="n">
        <v>2</v>
      </c>
      <c r="J47" s="12" t="s">
        <v>110</v>
      </c>
      <c r="K47" s="12"/>
    </row>
    <row r="48" customFormat="false" ht="15" hidden="false" customHeight="true" outlineLevel="0" collapsed="false">
      <c r="A48" s="6" t="n">
        <v>47</v>
      </c>
      <c r="B48" s="7" t="s">
        <v>62</v>
      </c>
      <c r="C48" s="8" t="s">
        <v>119</v>
      </c>
      <c r="D48" s="9" t="n">
        <v>2</v>
      </c>
      <c r="E48" s="6" t="str">
        <f aca="false">IF(D48=1,"Básico","Adicional")</f>
        <v>Adicional</v>
      </c>
      <c r="F48" s="9" t="s">
        <v>52</v>
      </c>
      <c r="G48" s="7"/>
      <c r="H48" s="9" t="s">
        <v>37</v>
      </c>
      <c r="I48" s="9" t="n">
        <v>2</v>
      </c>
      <c r="J48" s="8" t="s">
        <v>110</v>
      </c>
      <c r="K48" s="8"/>
    </row>
    <row r="49" customFormat="false" ht="15" hidden="false" customHeight="true" outlineLevel="0" collapsed="false">
      <c r="A49" s="10" t="n">
        <v>48</v>
      </c>
      <c r="B49" s="11" t="s">
        <v>60</v>
      </c>
      <c r="C49" s="12" t="s">
        <v>120</v>
      </c>
      <c r="D49" s="9" t="n">
        <v>2</v>
      </c>
      <c r="E49" s="10" t="str">
        <f aca="false">IF(D49=1,"Básico","Adicional")</f>
        <v>Adicional</v>
      </c>
      <c r="F49" s="9" t="s">
        <v>35</v>
      </c>
      <c r="G49" s="11" t="s">
        <v>49</v>
      </c>
      <c r="H49" s="9" t="s">
        <v>37</v>
      </c>
      <c r="I49" s="9" t="n">
        <v>2</v>
      </c>
      <c r="J49" s="12" t="s">
        <v>110</v>
      </c>
      <c r="K49" s="12"/>
    </row>
    <row r="50" customFormat="false" ht="15" hidden="false" customHeight="true" outlineLevel="0" collapsed="false">
      <c r="A50" s="6" t="n">
        <v>49</v>
      </c>
      <c r="B50" s="7" t="s">
        <v>60</v>
      </c>
      <c r="C50" s="8" t="s">
        <v>121</v>
      </c>
      <c r="D50" s="9" t="n">
        <v>3</v>
      </c>
      <c r="E50" s="6" t="str">
        <f aca="false">IF(D50=1,"Básico","Adicional")</f>
        <v>Adicional</v>
      </c>
      <c r="F50" s="9" t="s">
        <v>52</v>
      </c>
      <c r="G50" s="7"/>
      <c r="H50" s="9" t="s">
        <v>37</v>
      </c>
      <c r="I50" s="9" t="n">
        <v>2</v>
      </c>
      <c r="J50" s="8" t="s">
        <v>110</v>
      </c>
      <c r="K50" s="8"/>
    </row>
    <row r="51" customFormat="false" ht="15" hidden="false" customHeight="true" outlineLevel="0" collapsed="false">
      <c r="A51" s="10" t="n">
        <v>50</v>
      </c>
      <c r="B51" s="11" t="s">
        <v>96</v>
      </c>
      <c r="C51" s="12" t="s">
        <v>122</v>
      </c>
      <c r="D51" s="9" t="n">
        <v>3</v>
      </c>
      <c r="E51" s="10" t="str">
        <f aca="false">IF(D51=1,"Básico","Adicional")</f>
        <v>Adicional</v>
      </c>
      <c r="F51" s="9" t="s">
        <v>52</v>
      </c>
      <c r="G51" s="11"/>
      <c r="H51" s="9" t="s">
        <v>37</v>
      </c>
      <c r="I51" s="9" t="n">
        <v>2</v>
      </c>
      <c r="J51" s="12" t="s">
        <v>110</v>
      </c>
      <c r="K51" s="12"/>
    </row>
    <row r="52" customFormat="false" ht="15" hidden="false" customHeight="true" outlineLevel="0" collapsed="false">
      <c r="A52" s="6" t="n">
        <v>51</v>
      </c>
      <c r="B52" s="7" t="s">
        <v>96</v>
      </c>
      <c r="C52" s="8" t="s">
        <v>123</v>
      </c>
      <c r="D52" s="9" t="n">
        <v>3</v>
      </c>
      <c r="E52" s="6" t="str">
        <f aca="false">IF(D52=1,"Básico","Adicional")</f>
        <v>Adicional</v>
      </c>
      <c r="F52" s="9" t="s">
        <v>52</v>
      </c>
      <c r="G52" s="7"/>
      <c r="H52" s="9" t="s">
        <v>37</v>
      </c>
      <c r="I52" s="9" t="n">
        <v>2</v>
      </c>
      <c r="J52" s="8" t="s">
        <v>110</v>
      </c>
      <c r="K52" s="8"/>
    </row>
    <row r="53" customFormat="false" ht="15" hidden="true" customHeight="true" outlineLevel="0" collapsed="false">
      <c r="A53" s="10" t="n">
        <v>52</v>
      </c>
      <c r="B53" s="11" t="s">
        <v>96</v>
      </c>
      <c r="C53" s="12" t="s">
        <v>124</v>
      </c>
      <c r="D53" s="9" t="n">
        <v>2</v>
      </c>
      <c r="E53" s="10" t="str">
        <f aca="false">IF(D53=1,"Básico","Adicional")</f>
        <v>Adicional</v>
      </c>
      <c r="F53" s="9" t="s">
        <v>52</v>
      </c>
      <c r="G53" s="11"/>
      <c r="H53" s="9" t="s">
        <v>37</v>
      </c>
      <c r="I53" s="9" t="n">
        <v>2</v>
      </c>
      <c r="J53" s="12" t="s">
        <v>38</v>
      </c>
      <c r="K53" s="12"/>
    </row>
    <row r="54" customFormat="false" ht="15" hidden="true" customHeight="true" outlineLevel="0" collapsed="false">
      <c r="A54" s="6" t="n">
        <v>53</v>
      </c>
      <c r="B54" s="7" t="s">
        <v>33</v>
      </c>
      <c r="C54" s="8" t="s">
        <v>125</v>
      </c>
      <c r="D54" s="9" t="n">
        <v>3</v>
      </c>
      <c r="E54" s="6" t="str">
        <f aca="false">IF(D54=1,"Básico","Adicional")</f>
        <v>Adicional</v>
      </c>
      <c r="F54" s="9" t="s">
        <v>52</v>
      </c>
      <c r="G54" s="7"/>
      <c r="H54" s="9" t="s">
        <v>37</v>
      </c>
      <c r="I54" s="9" t="n">
        <v>-1</v>
      </c>
      <c r="J54" s="8" t="s">
        <v>38</v>
      </c>
      <c r="K54" s="8" t="s">
        <v>126</v>
      </c>
    </row>
    <row r="55" customFormat="false" ht="15" hidden="true" customHeight="true" outlineLevel="0" collapsed="false">
      <c r="A55" s="10" t="n">
        <v>54</v>
      </c>
      <c r="B55" s="11" t="s">
        <v>53</v>
      </c>
      <c r="C55" s="12" t="s">
        <v>127</v>
      </c>
      <c r="D55" s="9" t="n">
        <v>2</v>
      </c>
      <c r="E55" s="10" t="str">
        <f aca="false">IF(D55=1,"Básico","Adicional")</f>
        <v>Adicional</v>
      </c>
      <c r="F55" s="9" t="s">
        <v>52</v>
      </c>
      <c r="G55" s="11"/>
      <c r="H55" s="9" t="s">
        <v>37</v>
      </c>
      <c r="I55" s="9" t="n">
        <v>-2</v>
      </c>
      <c r="J55" s="12" t="s">
        <v>38</v>
      </c>
      <c r="K55" s="12" t="s">
        <v>126</v>
      </c>
    </row>
    <row r="56" customFormat="false" ht="15" hidden="false" customHeight="true" outlineLevel="0" collapsed="false"/>
    <row r="57" customFormat="false" ht="15" hidden="false" customHeight="true" outlineLevel="0" collapsed="false">
      <c r="B57" s="13" t="s">
        <v>128</v>
      </c>
      <c r="C57" s="14" t="n">
        <f aca="false">COUNTA(C2:C55)</f>
        <v>54</v>
      </c>
    </row>
    <row r="58" customFormat="false" ht="15" hidden="false" customHeight="true" outlineLevel="0" collapsed="false">
      <c r="B58" s="13" t="s">
        <v>129</v>
      </c>
      <c r="C58" s="14" t="n">
        <f aca="false">COUNTIF(F2:F55,"Sim")</f>
        <v>24</v>
      </c>
    </row>
    <row r="59" customFormat="false" ht="15" hidden="false" customHeight="true" outlineLevel="0" collapsed="false">
      <c r="B59" s="13" t="s">
        <v>130</v>
      </c>
      <c r="C59" s="14" t="n">
        <f aca="false">COUNTIF(H2:H55,"Só destination")</f>
        <v>5</v>
      </c>
    </row>
    <row r="60" customFormat="false" ht="15" hidden="false" customHeight="true" outlineLevel="0" collapsed="false">
      <c r="B60" s="13" t="s">
        <v>131</v>
      </c>
      <c r="C60" s="14" t="n">
        <f aca="false">COUNTIF(I2:I55,"&lt;0")</f>
        <v>2</v>
      </c>
    </row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</sheetData>
  <autoFilter ref="A1:K55"/>
  <dataValidations count="3">
    <dataValidation allowBlank="false" errorStyle="stop" operator="between" showDropDown="false" showErrorMessage="false" showInputMessage="false" sqref="D2:D55" type="list">
      <formula1>"1,2,3"</formula1>
      <formula2>0</formula2>
    </dataValidation>
    <dataValidation allowBlank="false" errorStyle="stop" operator="between" showDropDown="false" showErrorMessage="false" showInputMessage="false" sqref="F2:F55" type="list">
      <formula1>"Sim,Não"</formula1>
      <formula2>0</formula2>
    </dataValidation>
    <dataValidation allowBlank="false" errorStyle="stop" operator="between" showDropDown="false" showErrorMessage="false" showInputMessage="false" sqref="H2:H55" type="list">
      <formula1>"Todos,Só destination"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C11" activeCellId="0" sqref="C1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14"/>
  </cols>
  <sheetData>
    <row r="1" customFormat="false" ht="18" hidden="false" customHeight="true" outlineLevel="0" collapsed="false">
      <c r="A1" s="2" t="s">
        <v>132</v>
      </c>
    </row>
    <row r="2" customFormat="false" ht="15" hidden="false" customHeight="true" outlineLevel="0" collapsed="false">
      <c r="A2" s="15" t="s">
        <v>133</v>
      </c>
    </row>
    <row r="3" customFormat="false" ht="15" hidden="false" customHeight="true" outlineLevel="0" collapsed="false">
      <c r="A3" s="16" t="s">
        <v>134</v>
      </c>
      <c r="B3" s="17" t="n">
        <v>46313</v>
      </c>
    </row>
    <row r="4" customFormat="false" ht="15" hidden="false" customHeight="true" outlineLevel="0" collapsed="false">
      <c r="A4" s="16" t="s">
        <v>135</v>
      </c>
      <c r="B4" s="17" t="n">
        <v>46557</v>
      </c>
    </row>
    <row r="5" customFormat="false" ht="15" hidden="false" customHeight="true" outlineLevel="0" collapsed="false">
      <c r="A5" s="16" t="s">
        <v>136</v>
      </c>
      <c r="B5" s="18" t="s">
        <v>137</v>
      </c>
    </row>
    <row r="6" customFormat="false" ht="15" hidden="false" customHeight="true" outlineLevel="0" collapsed="false">
      <c r="A6" s="16" t="s">
        <v>138</v>
      </c>
      <c r="B6" s="18" t="s">
        <v>52</v>
      </c>
    </row>
    <row r="8" customFormat="false" ht="15" hidden="false" customHeight="true" outlineLevel="0" collapsed="false">
      <c r="A8" s="16" t="s">
        <v>139</v>
      </c>
      <c r="B8" s="19" t="n">
        <f aca="false">(B4-B3)/30.4375</f>
        <v>8.01642710472279</v>
      </c>
    </row>
    <row r="9" customFormat="false" ht="15" hidden="false" customHeight="true" outlineLevel="0" collapsed="false">
      <c r="A9" s="16" t="s">
        <v>140</v>
      </c>
      <c r="B9" s="18" t="n">
        <v>12</v>
      </c>
    </row>
    <row r="10" customFormat="false" ht="15" hidden="false" customHeight="true" outlineLevel="0" collapsed="false">
      <c r="A10" s="16" t="s">
        <v>141</v>
      </c>
      <c r="B10" s="20" t="n">
        <f aca="false">MAX(0,MIN(1,B8/B9))</f>
        <v>0.668035592060233</v>
      </c>
    </row>
    <row r="11" customFormat="false" ht="15" hidden="false" customHeight="true" outlineLevel="0" collapsed="false">
      <c r="A11" s="16" t="s">
        <v>142</v>
      </c>
      <c r="B11" s="21" t="n">
        <f aca="false">IF(B5="Completo",3,IF(B5="Minimalista",2,1))</f>
        <v>1</v>
      </c>
    </row>
    <row r="12" customFormat="false" ht="15" hidden="false" customHeight="true" outlineLevel="0" collapsed="false">
      <c r="A12" s="16" t="s">
        <v>143</v>
      </c>
      <c r="B12" s="21" t="n">
        <f aca="false">COUNTIF(C18:C71,"Sim")</f>
        <v>20</v>
      </c>
    </row>
    <row r="13" customFormat="false" ht="15" hidden="false" customHeight="true" outlineLevel="0" collapsed="false">
      <c r="A13" s="16" t="s">
        <v>144</v>
      </c>
      <c r="B13" s="21" t="n">
        <f aca="false">COUNTIF(D18:D71,"Sim")</f>
        <v>19</v>
      </c>
    </row>
    <row r="14" customFormat="false" ht="15" hidden="false" customHeight="true" outlineLevel="0" collapsed="false">
      <c r="A14" s="16" t="s">
        <v>145</v>
      </c>
      <c r="B14" s="22" t="str">
        <f aca="false">IF(B8&lt;=0,"Data do casamento já passou",IF(B8&lt;4,"Prazo curto: priorize os essenciais",""))</f>
        <v/>
      </c>
    </row>
    <row r="17" customFormat="false" ht="31.5" hidden="false" customHeight="true" outlineLevel="0" collapsed="false">
      <c r="A17" s="23" t="s">
        <v>25</v>
      </c>
      <c r="B17" s="23" t="s">
        <v>24</v>
      </c>
      <c r="C17" s="23" t="s">
        <v>146</v>
      </c>
      <c r="D17" s="23" t="s">
        <v>147</v>
      </c>
      <c r="E17" s="23" t="s">
        <v>30</v>
      </c>
      <c r="F17" s="23" t="s">
        <v>148</v>
      </c>
      <c r="G17" s="23" t="s">
        <v>149</v>
      </c>
    </row>
    <row r="18" customFormat="false" ht="15" hidden="false" customHeight="true" outlineLevel="0" collapsed="false">
      <c r="A18" s="24" t="str">
        <f aca="false">Catálogo!C2</f>
        <v>Reserva para imprevistos (5 a 10% do orçamento)</v>
      </c>
      <c r="B18" s="24" t="str">
        <f aca="false">Catálogo!B2</f>
        <v>Planejamento e documentos</v>
      </c>
      <c r="C18" s="25" t="str">
        <f aca="false">IF(AND(Catálogo!D2&lt;=$B$11,OR(Catálogo!H2="Todos",$B$6="Sim")),"Sim","Não")</f>
        <v>Sim</v>
      </c>
      <c r="D18" s="25" t="str">
        <f aca="false">IF(AND(C18="Sim",Catálogo!F2="Sim"),"Sim","Não")</f>
        <v>Sim</v>
      </c>
      <c r="E18" s="25" t="n">
        <f aca="false">Catálogo!I2</f>
        <v>12</v>
      </c>
      <c r="F18" s="26" t="n">
        <f aca="false">IF(C18="Sim",IF(E18&lt;0,E18,E18*$B$10),"")</f>
        <v>8.01642710472279</v>
      </c>
      <c r="G18" s="27" t="n">
        <f aca="false">IF(C18="Sim",$B$4-ROUND(F18*30.4375,0),"")</f>
        <v>46313</v>
      </c>
    </row>
    <row r="19" customFormat="false" ht="15" hidden="false" customHeight="true" outlineLevel="0" collapsed="false">
      <c r="A19" s="24" t="str">
        <f aca="false">Catálogo!C3</f>
        <v>Cerimonialista ou assessoria</v>
      </c>
      <c r="B19" s="24" t="str">
        <f aca="false">Catálogo!B3</f>
        <v>Planejamento e documentos</v>
      </c>
      <c r="C19" s="25" t="str">
        <f aca="false">IF(AND(Catálogo!D3&lt;=$B$11,OR(Catálogo!H3="Todos",$B$6="Sim")),"Sim","Não")</f>
        <v>Sim</v>
      </c>
      <c r="D19" s="25" t="str">
        <f aca="false">IF(AND(C19="Sim",Catálogo!F3="Sim"),"Sim","Não")</f>
        <v>Sim</v>
      </c>
      <c r="E19" s="25" t="n">
        <f aca="false">Catálogo!I3</f>
        <v>10</v>
      </c>
      <c r="F19" s="26" t="n">
        <f aca="false">IF(C19="Sim",IF(E19&lt;0,E19,E19*$B$10),"")</f>
        <v>6.68035592060233</v>
      </c>
      <c r="G19" s="27" t="n">
        <f aca="false">IF(C19="Sim",$B$4-ROUND(F19*30.4375,0),"")</f>
        <v>46354</v>
      </c>
    </row>
    <row r="20" customFormat="false" ht="15" hidden="false" customHeight="true" outlineLevel="0" collapsed="false">
      <c r="A20" s="24" t="str">
        <f aca="false">Catálogo!C4</f>
        <v>Local da cerimônia</v>
      </c>
      <c r="B20" s="24" t="str">
        <f aca="false">Catálogo!B4</f>
        <v>Cerimônia e música</v>
      </c>
      <c r="C20" s="25" t="str">
        <f aca="false">IF(AND(Catálogo!D4&lt;=$B$11,OR(Catálogo!H4="Todos",$B$6="Sim")),"Sim","Não")</f>
        <v>Sim</v>
      </c>
      <c r="D20" s="25" t="str">
        <f aca="false">IF(AND(C20="Sim",Catálogo!F4="Sim"),"Sim","Não")</f>
        <v>Sim</v>
      </c>
      <c r="E20" s="25" t="n">
        <f aca="false">Catálogo!I4</f>
        <v>10</v>
      </c>
      <c r="F20" s="26" t="n">
        <f aca="false">IF(C20="Sim",IF(E20&lt;0,E20,E20*$B$10),"")</f>
        <v>6.68035592060233</v>
      </c>
      <c r="G20" s="27" t="n">
        <f aca="false">IF(C20="Sim",$B$4-ROUND(F20*30.4375,0),"")</f>
        <v>46354</v>
      </c>
    </row>
    <row r="21" customFormat="false" ht="15" hidden="false" customHeight="true" outlineLevel="0" collapsed="false">
      <c r="A21" s="24" t="str">
        <f aca="false">Catálogo!C5</f>
        <v>Celebrante ou juiz de paz</v>
      </c>
      <c r="B21" s="24" t="str">
        <f aca="false">Catálogo!B5</f>
        <v>Cerimônia e música</v>
      </c>
      <c r="C21" s="25" t="str">
        <f aca="false">IF(AND(Catálogo!D5&lt;=$B$11,OR(Catálogo!H5="Todos",$B$6="Sim")),"Sim","Não")</f>
        <v>Sim</v>
      </c>
      <c r="D21" s="25" t="str">
        <f aca="false">IF(AND(C21="Sim",Catálogo!F5="Sim"),"Sim","Não")</f>
        <v>Sim</v>
      </c>
      <c r="E21" s="25" t="n">
        <f aca="false">Catálogo!I5</f>
        <v>10</v>
      </c>
      <c r="F21" s="26" t="n">
        <f aca="false">IF(C21="Sim",IF(E21&lt;0,E21,E21*$B$10),"")</f>
        <v>6.68035592060233</v>
      </c>
      <c r="G21" s="27" t="n">
        <f aca="false">IF(C21="Sim",$B$4-ROUND(F21*30.4375,0),"")</f>
        <v>46354</v>
      </c>
    </row>
    <row r="22" customFormat="false" ht="15" hidden="false" customHeight="true" outlineLevel="0" collapsed="false">
      <c r="A22" s="24" t="str">
        <f aca="false">Catálogo!C6</f>
        <v>Espaço da recepção</v>
      </c>
      <c r="B22" s="24" t="str">
        <f aca="false">Catálogo!B6</f>
        <v>Festa e decoração</v>
      </c>
      <c r="C22" s="25" t="str">
        <f aca="false">IF(AND(Catálogo!D6&lt;=$B$11,OR(Catálogo!H6="Todos",$B$6="Sim")),"Sim","Não")</f>
        <v>Sim</v>
      </c>
      <c r="D22" s="25" t="str">
        <f aca="false">IF(AND(C22="Sim",Catálogo!F6="Sim"),"Sim","Não")</f>
        <v>Sim</v>
      </c>
      <c r="E22" s="25" t="n">
        <f aca="false">Catálogo!I6</f>
        <v>10</v>
      </c>
      <c r="F22" s="26" t="n">
        <f aca="false">IF(C22="Sim",IF(E22&lt;0,E22,E22*$B$10),"")</f>
        <v>6.68035592060233</v>
      </c>
      <c r="G22" s="27" t="n">
        <f aca="false">IF(C22="Sim",$B$4-ROUND(F22*30.4375,0),"")</f>
        <v>46354</v>
      </c>
    </row>
    <row r="23" customFormat="false" ht="15" hidden="false" customHeight="true" outlineLevel="0" collapsed="false">
      <c r="A23" s="24" t="str">
        <f aca="false">Catálogo!C7</f>
        <v>Buffet ou catering</v>
      </c>
      <c r="B23" s="24" t="str">
        <f aca="false">Catálogo!B7</f>
        <v>Festa e decoração</v>
      </c>
      <c r="C23" s="25" t="str">
        <f aca="false">IF(AND(Catálogo!D7&lt;=$B$11,OR(Catálogo!H7="Todos",$B$6="Sim")),"Sim","Não")</f>
        <v>Sim</v>
      </c>
      <c r="D23" s="25" t="str">
        <f aca="false">IF(AND(C23="Sim",Catálogo!F7="Sim"),"Sim","Não")</f>
        <v>Sim</v>
      </c>
      <c r="E23" s="25" t="n">
        <f aca="false">Catálogo!I7</f>
        <v>10</v>
      </c>
      <c r="F23" s="26" t="n">
        <f aca="false">IF(C23="Sim",IF(E23&lt;0,E23,E23*$B$10),"")</f>
        <v>6.68035592060233</v>
      </c>
      <c r="G23" s="27" t="n">
        <f aca="false">IF(C23="Sim",$B$4-ROUND(F23*30.4375,0),"")</f>
        <v>46354</v>
      </c>
    </row>
    <row r="24" customFormat="false" ht="15" hidden="false" customHeight="true" outlineLevel="0" collapsed="false">
      <c r="A24" s="24" t="str">
        <f aca="false">Catálogo!C8</f>
        <v>Animação e atrações da festa</v>
      </c>
      <c r="B24" s="24" t="str">
        <f aca="false">Catálogo!B8</f>
        <v>Festa e decoração</v>
      </c>
      <c r="C24" s="25" t="str">
        <f aca="false">IF(AND(Catálogo!D8&lt;=$B$11,OR(Catálogo!H8="Todos",$B$6="Sim")),"Sim","Não")</f>
        <v>Não</v>
      </c>
      <c r="D24" s="25" t="str">
        <f aca="false">IF(AND(C24="Sim",Catálogo!F8="Sim"),"Sim","Não")</f>
        <v>Não</v>
      </c>
      <c r="E24" s="25" t="n">
        <f aca="false">Catálogo!I8</f>
        <v>10</v>
      </c>
      <c r="F24" s="26" t="str">
        <f aca="false">IF(C24="Sim",IF(E24&lt;0,E24,E24*$B$10),"")</f>
        <v/>
      </c>
      <c r="G24" s="27" t="str">
        <f aca="false">IF(C24="Sim",$B$4-ROUND(F24*30.4375,0),"")</f>
        <v/>
      </c>
    </row>
    <row r="25" customFormat="false" ht="15" hidden="false" customHeight="true" outlineLevel="0" collapsed="false">
      <c r="A25" s="24" t="str">
        <f aca="false">Catálogo!C9</f>
        <v>Fotógrafo</v>
      </c>
      <c r="B25" s="24" t="str">
        <f aca="false">Catálogo!B9</f>
        <v>Foto e vídeo</v>
      </c>
      <c r="C25" s="25" t="str">
        <f aca="false">IF(AND(Catálogo!D9&lt;=$B$11,OR(Catálogo!H9="Todos",$B$6="Sim")),"Sim","Não")</f>
        <v>Sim</v>
      </c>
      <c r="D25" s="25" t="str">
        <f aca="false">IF(AND(C25="Sim",Catálogo!F9="Sim"),"Sim","Não")</f>
        <v>Sim</v>
      </c>
      <c r="E25" s="25" t="n">
        <f aca="false">Catálogo!I9</f>
        <v>10</v>
      </c>
      <c r="F25" s="26" t="n">
        <f aca="false">IF(C25="Sim",IF(E25&lt;0,E25,E25*$B$10),"")</f>
        <v>6.68035592060233</v>
      </c>
      <c r="G25" s="27" t="n">
        <f aca="false">IF(C25="Sim",$B$4-ROUND(F25*30.4375,0),"")</f>
        <v>46354</v>
      </c>
    </row>
    <row r="26" customFormat="false" ht="15" hidden="false" customHeight="true" outlineLevel="0" collapsed="false">
      <c r="A26" s="24" t="str">
        <f aca="false">Catálogo!C10</f>
        <v>Filmagem</v>
      </c>
      <c r="B26" s="24" t="str">
        <f aca="false">Catálogo!B10</f>
        <v>Foto e vídeo</v>
      </c>
      <c r="C26" s="25" t="str">
        <f aca="false">IF(AND(Catálogo!D10&lt;=$B$11,OR(Catálogo!H10="Todos",$B$6="Sim")),"Sim","Não")</f>
        <v>Não</v>
      </c>
      <c r="D26" s="25" t="str">
        <f aca="false">IF(AND(C26="Sim",Catálogo!F10="Sim"),"Sim","Não")</f>
        <v>Não</v>
      </c>
      <c r="E26" s="25" t="n">
        <f aca="false">Catálogo!I10</f>
        <v>10</v>
      </c>
      <c r="F26" s="26" t="str">
        <f aca="false">IF(C26="Sim",IF(E26&lt;0,E26,E26*$B$10),"")</f>
        <v/>
      </c>
      <c r="G26" s="27" t="str">
        <f aca="false">IF(C26="Sim",$B$4-ROUND(F26*30.4375,0),"")</f>
        <v/>
      </c>
    </row>
    <row r="27" customFormat="false" ht="15" hidden="false" customHeight="true" outlineLevel="0" collapsed="false">
      <c r="A27" s="24" t="str">
        <f aca="false">Catálogo!C11</f>
        <v>Música ou DJ da cerimônia</v>
      </c>
      <c r="B27" s="24" t="str">
        <f aca="false">Catálogo!B11</f>
        <v>Cerimônia e música</v>
      </c>
      <c r="C27" s="25" t="str">
        <f aca="false">IF(AND(Catálogo!D11&lt;=$B$11,OR(Catálogo!H11="Todos",$B$6="Sim")),"Sim","Não")</f>
        <v>Sim</v>
      </c>
      <c r="D27" s="25" t="str">
        <f aca="false">IF(AND(C27="Sim",Catálogo!F11="Sim"),"Sim","Não")</f>
        <v>Sim</v>
      </c>
      <c r="E27" s="25" t="n">
        <f aca="false">Catálogo!I11</f>
        <v>10</v>
      </c>
      <c r="F27" s="26" t="n">
        <f aca="false">IF(C27="Sim",IF(E27&lt;0,E27,E27*$B$10),"")</f>
        <v>6.68035592060233</v>
      </c>
      <c r="G27" s="27" t="n">
        <f aca="false">IF(C27="Sim",$B$4-ROUND(F27*30.4375,0),"")</f>
        <v>46354</v>
      </c>
    </row>
    <row r="28" customFormat="false" ht="15" hidden="false" customHeight="true" outlineLevel="0" collapsed="false">
      <c r="A28" s="24" t="str">
        <f aca="false">Catálogo!C12</f>
        <v>Banda ou DJ da festa</v>
      </c>
      <c r="B28" s="24" t="str">
        <f aca="false">Catálogo!B12</f>
        <v>Cerimônia e música</v>
      </c>
      <c r="C28" s="25" t="str">
        <f aca="false">IF(AND(Catálogo!D12&lt;=$B$11,OR(Catálogo!H12="Todos",$B$6="Sim")),"Sim","Não")</f>
        <v>Sim</v>
      </c>
      <c r="D28" s="25" t="str">
        <f aca="false">IF(AND(C28="Sim",Catálogo!F12="Sim"),"Sim","Não")</f>
        <v>Sim</v>
      </c>
      <c r="E28" s="25" t="n">
        <f aca="false">Catálogo!I12</f>
        <v>10</v>
      </c>
      <c r="F28" s="26" t="n">
        <f aca="false">IF(C28="Sim",IF(E28&lt;0,E28,E28*$B$10),"")</f>
        <v>6.68035592060233</v>
      </c>
      <c r="G28" s="27" t="n">
        <f aca="false">IF(C28="Sim",$B$4-ROUND(F28*30.4375,0),"")</f>
        <v>46354</v>
      </c>
    </row>
    <row r="29" customFormat="false" ht="15" hidden="false" customHeight="true" outlineLevel="0" collapsed="false">
      <c r="A29" s="24" t="str">
        <f aca="false">Catálogo!C13</f>
        <v>Save the date</v>
      </c>
      <c r="B29" s="24" t="str">
        <f aca="false">Catálogo!B13</f>
        <v>Convidados e convites</v>
      </c>
      <c r="C29" s="25" t="str">
        <f aca="false">IF(AND(Catálogo!D13&lt;=$B$11,OR(Catálogo!H13="Todos",$B$6="Sim")),"Sim","Não")</f>
        <v>Não</v>
      </c>
      <c r="D29" s="25" t="str">
        <f aca="false">IF(AND(C29="Sim",Catálogo!F13="Sim"),"Sim","Não")</f>
        <v>Não</v>
      </c>
      <c r="E29" s="25" t="n">
        <f aca="false">Catálogo!I13</f>
        <v>10</v>
      </c>
      <c r="F29" s="26" t="str">
        <f aca="false">IF(C29="Sim",IF(E29&lt;0,E29,E29*$B$10),"")</f>
        <v/>
      </c>
      <c r="G29" s="27" t="str">
        <f aca="false">IF(C29="Sim",$B$4-ROUND(F29*30.4375,0),"")</f>
        <v/>
      </c>
    </row>
    <row r="30" customFormat="false" ht="15" hidden="false" customHeight="true" outlineLevel="0" collapsed="false">
      <c r="A30" s="24" t="str">
        <f aca="false">Catálogo!C14</f>
        <v>Hospedagem dos convidados</v>
      </c>
      <c r="B30" s="24" t="str">
        <f aca="false">Catálogo!B14</f>
        <v>Viagens e hospedagem</v>
      </c>
      <c r="C30" s="25" t="str">
        <f aca="false">IF(AND(Catálogo!D14&lt;=$B$11,OR(Catálogo!H14="Todos",$B$6="Sim")),"Sim","Não")</f>
        <v>Não</v>
      </c>
      <c r="D30" s="25" t="str">
        <f aca="false">IF(AND(C30="Sim",Catálogo!F14="Sim"),"Sim","Não")</f>
        <v>Não</v>
      </c>
      <c r="E30" s="25" t="n">
        <f aca="false">Catálogo!I14</f>
        <v>10</v>
      </c>
      <c r="F30" s="26" t="str">
        <f aca="false">IF(C30="Sim",IF(E30&lt;0,E30,E30*$B$10),"")</f>
        <v/>
      </c>
      <c r="G30" s="27" t="str">
        <f aca="false">IF(C30="Sim",$B$4-ROUND(F30*30.4375,0),"")</f>
        <v/>
      </c>
    </row>
    <row r="31" customFormat="false" ht="15" hidden="false" customHeight="true" outlineLevel="0" collapsed="false">
      <c r="A31" s="24" t="str">
        <f aca="false">Catálogo!C15</f>
        <v>Visita técnica ao local</v>
      </c>
      <c r="B31" s="24" t="str">
        <f aca="false">Catálogo!B15</f>
        <v>Planejamento e documentos</v>
      </c>
      <c r="C31" s="25" t="str">
        <f aca="false">IF(AND(Catálogo!D15&lt;=$B$11,OR(Catálogo!H15="Todos",$B$6="Sim")),"Sim","Não")</f>
        <v>Não</v>
      </c>
      <c r="D31" s="25" t="str">
        <f aca="false">IF(AND(C31="Sim",Catálogo!F15="Sim"),"Sim","Não")</f>
        <v>Não</v>
      </c>
      <c r="E31" s="25" t="n">
        <f aca="false">Catálogo!I15</f>
        <v>10</v>
      </c>
      <c r="F31" s="26" t="str">
        <f aca="false">IF(C31="Sim",IF(E31&lt;0,E31,E31*$B$10),"")</f>
        <v/>
      </c>
      <c r="G31" s="27" t="str">
        <f aca="false">IF(C31="Sim",$B$4-ROUND(F31*30.4375,0),"")</f>
        <v/>
      </c>
    </row>
    <row r="32" customFormat="false" ht="15" hidden="false" customHeight="true" outlineLevel="0" collapsed="false">
      <c r="A32" s="24" t="str">
        <f aca="false">Catálogo!C16</f>
        <v>Passagens e documentos de viagem dos noivos</v>
      </c>
      <c r="B32" s="24" t="str">
        <f aca="false">Catálogo!B16</f>
        <v>Viagens e hospedagem</v>
      </c>
      <c r="C32" s="25" t="str">
        <f aca="false">IF(AND(Catálogo!D16&lt;=$B$11,OR(Catálogo!H16="Todos",$B$6="Sim")),"Sim","Não")</f>
        <v>Não</v>
      </c>
      <c r="D32" s="25" t="str">
        <f aca="false">IF(AND(C32="Sim",Catálogo!F16="Sim"),"Sim","Não")</f>
        <v>Não</v>
      </c>
      <c r="E32" s="25" t="n">
        <f aca="false">Catálogo!I16</f>
        <v>10</v>
      </c>
      <c r="F32" s="26" t="str">
        <f aca="false">IF(C32="Sim",IF(E32&lt;0,E32,E32*$B$10),"")</f>
        <v/>
      </c>
      <c r="G32" s="27" t="str">
        <f aca="false">IF(C32="Sim",$B$4-ROUND(F32*30.4375,0),"")</f>
        <v/>
      </c>
    </row>
    <row r="33" customFormat="false" ht="15" hidden="false" customHeight="true" outlineLevel="0" collapsed="false">
      <c r="A33" s="24" t="str">
        <f aca="false">Catálogo!C17</f>
        <v>Casamento civil: documentos e taxas</v>
      </c>
      <c r="B33" s="24" t="str">
        <f aca="false">Catálogo!B17</f>
        <v>Planejamento e documentos</v>
      </c>
      <c r="C33" s="25" t="str">
        <f aca="false">IF(AND(Catálogo!D17&lt;=$B$11,OR(Catálogo!H17="Todos",$B$6="Sim")),"Sim","Não")</f>
        <v>Sim</v>
      </c>
      <c r="D33" s="25" t="str">
        <f aca="false">IF(AND(C33="Sim",Catálogo!F17="Sim"),"Sim","Não")</f>
        <v>Sim</v>
      </c>
      <c r="E33" s="25" t="n">
        <f aca="false">Catálogo!I17</f>
        <v>7</v>
      </c>
      <c r="F33" s="26" t="n">
        <f aca="false">IF(C33="Sim",IF(E33&lt;0,E33,E33*$B$10),"")</f>
        <v>4.67624914442163</v>
      </c>
      <c r="G33" s="27" t="n">
        <f aca="false">IF(C33="Sim",$B$4-ROUND(F33*30.4375,0),"")</f>
        <v>46415</v>
      </c>
    </row>
    <row r="34" customFormat="false" ht="15" hidden="false" customHeight="true" outlineLevel="0" collapsed="false">
      <c r="A34" s="24" t="str">
        <f aca="false">Catálogo!C18</f>
        <v>Casamento religioso: documentos e taxas</v>
      </c>
      <c r="B34" s="24" t="str">
        <f aca="false">Catálogo!B18</f>
        <v>Planejamento e documentos</v>
      </c>
      <c r="C34" s="25" t="str">
        <f aca="false">IF(AND(Catálogo!D18&lt;=$B$11,OR(Catálogo!H18="Todos",$B$6="Sim")),"Sim","Não")</f>
        <v>Sim</v>
      </c>
      <c r="D34" s="25" t="str">
        <f aca="false">IF(AND(C34="Sim",Catálogo!F18="Sim"),"Sim","Não")</f>
        <v>Sim</v>
      </c>
      <c r="E34" s="25" t="n">
        <f aca="false">Catálogo!I18</f>
        <v>7</v>
      </c>
      <c r="F34" s="26" t="n">
        <f aca="false">IF(C34="Sim",IF(E34&lt;0,E34,E34*$B$10),"")</f>
        <v>4.67624914442163</v>
      </c>
      <c r="G34" s="27" t="n">
        <f aca="false">IF(C34="Sim",$B$4-ROUND(F34*30.4375,0),"")</f>
        <v>46415</v>
      </c>
    </row>
    <row r="35" customFormat="false" ht="15" hidden="false" customHeight="true" outlineLevel="0" collapsed="false">
      <c r="A35" s="24" t="str">
        <f aca="false">Catálogo!C19</f>
        <v>Estrutura, som e iluminação</v>
      </c>
      <c r="B35" s="24" t="str">
        <f aca="false">Catálogo!B19</f>
        <v>Festa e decoração</v>
      </c>
      <c r="C35" s="25" t="str">
        <f aca="false">IF(AND(Catálogo!D19&lt;=$B$11,OR(Catálogo!H19="Todos",$B$6="Sim")),"Sim","Não")</f>
        <v>Não</v>
      </c>
      <c r="D35" s="25" t="str">
        <f aca="false">IF(AND(C35="Sim",Catálogo!F19="Sim"),"Sim","Não")</f>
        <v>Não</v>
      </c>
      <c r="E35" s="25" t="n">
        <f aca="false">Catálogo!I19</f>
        <v>7</v>
      </c>
      <c r="F35" s="26" t="str">
        <f aca="false">IF(C35="Sim",IF(E35&lt;0,E35,E35*$B$10),"")</f>
        <v/>
      </c>
      <c r="G35" s="27" t="str">
        <f aca="false">IF(C35="Sim",$B$4-ROUND(F35*30.4375,0),"")</f>
        <v/>
      </c>
    </row>
    <row r="36" customFormat="false" ht="15" hidden="false" customHeight="true" outlineLevel="0" collapsed="false">
      <c r="A36" s="24" t="str">
        <f aca="false">Catálogo!C20</f>
        <v>Vestido de noiva</v>
      </c>
      <c r="B36" s="24" t="str">
        <f aca="false">Catálogo!B20</f>
        <v>Noivos e beleza</v>
      </c>
      <c r="C36" s="25" t="str">
        <f aca="false">IF(AND(Catálogo!D20&lt;=$B$11,OR(Catálogo!H20="Todos",$B$6="Sim")),"Sim","Não")</f>
        <v>Sim</v>
      </c>
      <c r="D36" s="25" t="str">
        <f aca="false">IF(AND(C36="Sim",Catálogo!F20="Sim"),"Sim","Não")</f>
        <v>Sim</v>
      </c>
      <c r="E36" s="25" t="n">
        <f aca="false">Catálogo!I20</f>
        <v>7</v>
      </c>
      <c r="F36" s="26" t="n">
        <f aca="false">IF(C36="Sim",IF(E36&lt;0,E36,E36*$B$10),"")</f>
        <v>4.67624914442163</v>
      </c>
      <c r="G36" s="27" t="n">
        <f aca="false">IF(C36="Sim",$B$4-ROUND(F36*30.4375,0),"")</f>
        <v>46415</v>
      </c>
    </row>
    <row r="37" customFormat="false" ht="15" hidden="false" customHeight="true" outlineLevel="0" collapsed="false">
      <c r="A37" s="24" t="str">
        <f aca="false">Catálogo!C21</f>
        <v>Hospedagem e deslocamento dos fornecedores</v>
      </c>
      <c r="B37" s="24" t="str">
        <f aca="false">Catálogo!B21</f>
        <v>Viagens e hospedagem</v>
      </c>
      <c r="C37" s="25" t="str">
        <f aca="false">IF(AND(Catálogo!D21&lt;=$B$11,OR(Catálogo!H21="Todos",$B$6="Sim")),"Sim","Não")</f>
        <v>Não</v>
      </c>
      <c r="D37" s="25" t="str">
        <f aca="false">IF(AND(C37="Sim",Catálogo!F21="Sim"),"Sim","Não")</f>
        <v>Não</v>
      </c>
      <c r="E37" s="25" t="n">
        <f aca="false">Catálogo!I21</f>
        <v>7</v>
      </c>
      <c r="F37" s="26" t="str">
        <f aca="false">IF(C37="Sim",IF(E37&lt;0,E37,E37*$B$10),"")</f>
        <v/>
      </c>
      <c r="G37" s="27" t="str">
        <f aca="false">IF(C37="Sim",$B$4-ROUND(F37*30.4375,0),"")</f>
        <v/>
      </c>
    </row>
    <row r="38" customFormat="false" ht="15" hidden="false" customHeight="true" outlineLevel="0" collapsed="false">
      <c r="A38" s="24" t="str">
        <f aca="false">Catálogo!C22</f>
        <v>Pacto antenupcial e regime de bens</v>
      </c>
      <c r="B38" s="24" t="str">
        <f aca="false">Catálogo!B22</f>
        <v>Planejamento e documentos</v>
      </c>
      <c r="C38" s="25" t="str">
        <f aca="false">IF(AND(Catálogo!D22&lt;=$B$11,OR(Catálogo!H22="Todos",$B$6="Sim")),"Sim","Não")</f>
        <v>Não</v>
      </c>
      <c r="D38" s="25" t="str">
        <f aca="false">IF(AND(C38="Sim",Catálogo!F22="Sim"),"Sim","Não")</f>
        <v>Não</v>
      </c>
      <c r="E38" s="25" t="n">
        <f aca="false">Catálogo!I22</f>
        <v>7</v>
      </c>
      <c r="F38" s="26" t="str">
        <f aca="false">IF(C38="Sim",IF(E38&lt;0,E38,E38*$B$10),"")</f>
        <v/>
      </c>
      <c r="G38" s="27" t="str">
        <f aca="false">IF(C38="Sim",$B$4-ROUND(F38*30.4375,0),"")</f>
        <v/>
      </c>
    </row>
    <row r="39" customFormat="false" ht="15" hidden="false" customHeight="true" outlineLevel="0" collapsed="false">
      <c r="A39" s="24" t="str">
        <f aca="false">Catálogo!C23</f>
        <v>Lista de presentes e site do casamento</v>
      </c>
      <c r="B39" s="24" t="str">
        <f aca="false">Catálogo!B23</f>
        <v>Convidados e convites</v>
      </c>
      <c r="C39" s="25" t="str">
        <f aca="false">IF(AND(Catálogo!D23&lt;=$B$11,OR(Catálogo!H23="Todos",$B$6="Sim")),"Sim","Não")</f>
        <v>Não</v>
      </c>
      <c r="D39" s="25" t="str">
        <f aca="false">IF(AND(C39="Sim",Catálogo!F23="Sim"),"Sim","Não")</f>
        <v>Não</v>
      </c>
      <c r="E39" s="25" t="n">
        <f aca="false">Catálogo!I23</f>
        <v>7</v>
      </c>
      <c r="F39" s="26" t="str">
        <f aca="false">IF(C39="Sim",IF(E39&lt;0,E39,E39*$B$10),"")</f>
        <v/>
      </c>
      <c r="G39" s="27" t="str">
        <f aca="false">IF(C39="Sim",$B$4-ROUND(F39*30.4375,0),"")</f>
        <v/>
      </c>
    </row>
    <row r="40" customFormat="false" ht="15" hidden="false" customHeight="true" outlineLevel="0" collapsed="false">
      <c r="A40" s="24" t="str">
        <f aca="false">Catálogo!C24</f>
        <v>Ensaio pré-wedding</v>
      </c>
      <c r="B40" s="24" t="str">
        <f aca="false">Catálogo!B24</f>
        <v>Foto e vídeo</v>
      </c>
      <c r="C40" s="25" t="str">
        <f aca="false">IF(AND(Catálogo!D24&lt;=$B$11,OR(Catálogo!H24="Todos",$B$6="Sim")),"Sim","Não")</f>
        <v>Não</v>
      </c>
      <c r="D40" s="25" t="str">
        <f aca="false">IF(AND(C40="Sim",Catálogo!F24="Sim"),"Sim","Não")</f>
        <v>Não</v>
      </c>
      <c r="E40" s="25" t="n">
        <f aca="false">Catálogo!I24</f>
        <v>7</v>
      </c>
      <c r="F40" s="26" t="str">
        <f aca="false">IF(C40="Sim",IF(E40&lt;0,E40,E40*$B$10),"")</f>
        <v/>
      </c>
      <c r="G40" s="27" t="str">
        <f aca="false">IF(C40="Sim",$B$4-ROUND(F40*30.4375,0),"")</f>
        <v/>
      </c>
    </row>
    <row r="41" customFormat="false" ht="15" hidden="false" customHeight="true" outlineLevel="0" collapsed="false">
      <c r="A41" s="24" t="str">
        <f aca="false">Catálogo!C25</f>
        <v>Passaporte, visto e seguro viagem</v>
      </c>
      <c r="B41" s="24" t="str">
        <f aca="false">Catálogo!B25</f>
        <v>Viagens e hospedagem</v>
      </c>
      <c r="C41" s="25" t="str">
        <f aca="false">IF(AND(Catálogo!D25&lt;=$B$11,OR(Catálogo!H25="Todos",$B$6="Sim")),"Sim","Não")</f>
        <v>Não</v>
      </c>
      <c r="D41" s="25" t="str">
        <f aca="false">IF(AND(C41="Sim",Catálogo!F25="Sim"),"Sim","Não")</f>
        <v>Não</v>
      </c>
      <c r="E41" s="25" t="n">
        <f aca="false">Catálogo!I25</f>
        <v>7</v>
      </c>
      <c r="F41" s="26" t="str">
        <f aca="false">IF(C41="Sim",IF(E41&lt;0,E41,E41*$B$10),"")</f>
        <v/>
      </c>
      <c r="G41" s="27" t="str">
        <f aca="false">IF(C41="Sim",$B$4-ROUND(F41*30.4375,0),"")</f>
        <v/>
      </c>
    </row>
    <row r="42" customFormat="false" ht="15" hidden="false" customHeight="true" outlineLevel="0" collapsed="false">
      <c r="A42" s="24" t="str">
        <f aca="false">Catálogo!C26</f>
        <v>Documentação do casamento no exterior (apostila, tradução)</v>
      </c>
      <c r="B42" s="24" t="str">
        <f aca="false">Catálogo!B26</f>
        <v>Planejamento e documentos</v>
      </c>
      <c r="C42" s="25" t="str">
        <f aca="false">IF(AND(Catálogo!D26&lt;=$B$11,OR(Catálogo!H26="Todos",$B$6="Sim")),"Sim","Não")</f>
        <v>Não</v>
      </c>
      <c r="D42" s="25" t="str">
        <f aca="false">IF(AND(C42="Sim",Catálogo!F26="Sim"),"Sim","Não")</f>
        <v>Não</v>
      </c>
      <c r="E42" s="25" t="n">
        <f aca="false">Catálogo!I26</f>
        <v>7</v>
      </c>
      <c r="F42" s="26" t="str">
        <f aca="false">IF(C42="Sim",IF(E42&lt;0,E42,E42*$B$10),"")</f>
        <v/>
      </c>
      <c r="G42" s="27" t="str">
        <f aca="false">IF(C42="Sim",$B$4-ROUND(F42*30.4375,0),"")</f>
        <v/>
      </c>
    </row>
    <row r="43" customFormat="false" ht="15" hidden="false" customHeight="true" outlineLevel="0" collapsed="false">
      <c r="A43" s="24" t="str">
        <f aca="false">Catálogo!C27</f>
        <v>Bolo e doces</v>
      </c>
      <c r="B43" s="24" t="str">
        <f aca="false">Catálogo!B27</f>
        <v>Festa e decoração</v>
      </c>
      <c r="C43" s="25" t="str">
        <f aca="false">IF(AND(Catálogo!D27&lt;=$B$11,OR(Catálogo!H27="Todos",$B$6="Sim")),"Sim","Não")</f>
        <v>Sim</v>
      </c>
      <c r="D43" s="25" t="str">
        <f aca="false">IF(AND(C43="Sim",Catálogo!F27="Sim"),"Sim","Não")</f>
        <v>Não</v>
      </c>
      <c r="E43" s="25" t="n">
        <f aca="false">Catálogo!I27</f>
        <v>4</v>
      </c>
      <c r="F43" s="26" t="n">
        <f aca="false">IF(C43="Sim",IF(E43&lt;0,E43,E43*$B$10),"")</f>
        <v>2.67214236824093</v>
      </c>
      <c r="G43" s="27" t="n">
        <f aca="false">IF(C43="Sim",$B$4-ROUND(F43*30.4375,0),"")</f>
        <v>46476</v>
      </c>
    </row>
    <row r="44" customFormat="false" ht="15" hidden="false" customHeight="true" outlineLevel="0" collapsed="false">
      <c r="A44" s="24" t="str">
        <f aca="false">Catálogo!C28</f>
        <v>Decoração e flores</v>
      </c>
      <c r="B44" s="24" t="str">
        <f aca="false">Catálogo!B28</f>
        <v>Festa e decoração</v>
      </c>
      <c r="C44" s="25" t="str">
        <f aca="false">IF(AND(Catálogo!D28&lt;=$B$11,OR(Catálogo!H28="Todos",$B$6="Sim")),"Sim","Não")</f>
        <v>Sim</v>
      </c>
      <c r="D44" s="25" t="str">
        <f aca="false">IF(AND(C44="Sim",Catálogo!F28="Sim"),"Sim","Não")</f>
        <v>Sim</v>
      </c>
      <c r="E44" s="25" t="n">
        <f aca="false">Catálogo!I28</f>
        <v>4</v>
      </c>
      <c r="F44" s="26" t="n">
        <f aca="false">IF(C44="Sim",IF(E44&lt;0,E44,E44*$B$10),"")</f>
        <v>2.67214236824093</v>
      </c>
      <c r="G44" s="27" t="n">
        <f aca="false">IF(C44="Sim",$B$4-ROUND(F44*30.4375,0),"")</f>
        <v>46476</v>
      </c>
    </row>
    <row r="45" customFormat="false" ht="15" hidden="false" customHeight="true" outlineLevel="0" collapsed="false">
      <c r="A45" s="24" t="str">
        <f aca="false">Catálogo!C29</f>
        <v>Convites</v>
      </c>
      <c r="B45" s="24" t="str">
        <f aca="false">Catálogo!B29</f>
        <v>Convidados e convites</v>
      </c>
      <c r="C45" s="25" t="str">
        <f aca="false">IF(AND(Catálogo!D29&lt;=$B$11,OR(Catálogo!H29="Todos",$B$6="Sim")),"Sim","Não")</f>
        <v>Sim</v>
      </c>
      <c r="D45" s="25" t="str">
        <f aca="false">IF(AND(C45="Sim",Catálogo!F29="Sim"),"Sim","Não")</f>
        <v>Sim</v>
      </c>
      <c r="E45" s="25" t="n">
        <f aca="false">Catálogo!I29</f>
        <v>4</v>
      </c>
      <c r="F45" s="26" t="n">
        <f aca="false">IF(C45="Sim",IF(E45&lt;0,E45,E45*$B$10),"")</f>
        <v>2.67214236824093</v>
      </c>
      <c r="G45" s="27" t="n">
        <f aca="false">IF(C45="Sim",$B$4-ROUND(F45*30.4375,0),"")</f>
        <v>46476</v>
      </c>
    </row>
    <row r="46" customFormat="false" ht="15" hidden="false" customHeight="true" outlineLevel="0" collapsed="false">
      <c r="A46" s="24" t="str">
        <f aca="false">Catálogo!C30</f>
        <v>Traje do noivo</v>
      </c>
      <c r="B46" s="24" t="str">
        <f aca="false">Catálogo!B30</f>
        <v>Noivos e beleza</v>
      </c>
      <c r="C46" s="25" t="str">
        <f aca="false">IF(AND(Catálogo!D30&lt;=$B$11,OR(Catálogo!H30="Todos",$B$6="Sim")),"Sim","Não")</f>
        <v>Sim</v>
      </c>
      <c r="D46" s="25" t="str">
        <f aca="false">IF(AND(C46="Sim",Catálogo!F30="Sim"),"Sim","Não")</f>
        <v>Sim</v>
      </c>
      <c r="E46" s="25" t="n">
        <f aca="false">Catálogo!I30</f>
        <v>4</v>
      </c>
      <c r="F46" s="26" t="n">
        <f aca="false">IF(C46="Sim",IF(E46&lt;0,E46,E46*$B$10),"")</f>
        <v>2.67214236824093</v>
      </c>
      <c r="G46" s="27" t="n">
        <f aca="false">IF(C46="Sim",$B$4-ROUND(F46*30.4375,0),"")</f>
        <v>46476</v>
      </c>
    </row>
    <row r="47" customFormat="false" ht="15" hidden="false" customHeight="true" outlineLevel="0" collapsed="false">
      <c r="A47" s="24" t="str">
        <f aca="false">Catálogo!C31</f>
        <v>Acessórios do noivo</v>
      </c>
      <c r="B47" s="24" t="str">
        <f aca="false">Catálogo!B31</f>
        <v>Noivos e beleza</v>
      </c>
      <c r="C47" s="25" t="str">
        <f aca="false">IF(AND(Catálogo!D31&lt;=$B$11,OR(Catálogo!H31="Todos",$B$6="Sim")),"Sim","Não")</f>
        <v>Não</v>
      </c>
      <c r="D47" s="25" t="str">
        <f aca="false">IF(AND(C47="Sim",Catálogo!F31="Sim"),"Sim","Não")</f>
        <v>Não</v>
      </c>
      <c r="E47" s="25" t="n">
        <f aca="false">Catálogo!I31</f>
        <v>4</v>
      </c>
      <c r="F47" s="26" t="str">
        <f aca="false">IF(C47="Sim",IF(E47&lt;0,E47,E47*$B$10),"")</f>
        <v/>
      </c>
      <c r="G47" s="27" t="str">
        <f aca="false">IF(C47="Sim",$B$4-ROUND(F47*30.4375,0),"")</f>
        <v/>
      </c>
    </row>
    <row r="48" customFormat="false" ht="15" hidden="false" customHeight="true" outlineLevel="0" collapsed="false">
      <c r="A48" s="24" t="str">
        <f aca="false">Catálogo!C32</f>
        <v>Transporte dos convidados</v>
      </c>
      <c r="B48" s="24" t="str">
        <f aca="false">Catálogo!B32</f>
        <v>Viagens e hospedagem</v>
      </c>
      <c r="C48" s="25" t="str">
        <f aca="false">IF(AND(Catálogo!D32&lt;=$B$11,OR(Catálogo!H32="Todos",$B$6="Sim")),"Sim","Não")</f>
        <v>Não</v>
      </c>
      <c r="D48" s="25" t="str">
        <f aca="false">IF(AND(C48="Sim",Catálogo!F32="Sim"),"Sim","Não")</f>
        <v>Não</v>
      </c>
      <c r="E48" s="25" t="n">
        <f aca="false">Catálogo!I32</f>
        <v>4</v>
      </c>
      <c r="F48" s="26" t="str">
        <f aca="false">IF(C48="Sim",IF(E48&lt;0,E48,E48*$B$10),"")</f>
        <v/>
      </c>
      <c r="G48" s="27" t="str">
        <f aca="false">IF(C48="Sim",$B$4-ROUND(F48*30.4375,0),"")</f>
        <v/>
      </c>
    </row>
    <row r="49" customFormat="false" ht="15" hidden="false" customHeight="true" outlineLevel="0" collapsed="false">
      <c r="A49" s="24" t="str">
        <f aca="false">Catálogo!C33</f>
        <v>Lua de mel</v>
      </c>
      <c r="B49" s="24" t="str">
        <f aca="false">Catálogo!B33</f>
        <v>Viagens e hospedagem</v>
      </c>
      <c r="C49" s="25" t="str">
        <f aca="false">IF(AND(Catálogo!D33&lt;=$B$11,OR(Catálogo!H33="Todos",$B$6="Sim")),"Sim","Não")</f>
        <v>Não</v>
      </c>
      <c r="D49" s="25" t="str">
        <f aca="false">IF(AND(C49="Sim",Catálogo!F33="Sim"),"Sim","Não")</f>
        <v>Não</v>
      </c>
      <c r="E49" s="25" t="n">
        <f aca="false">Catálogo!I33</f>
        <v>4</v>
      </c>
      <c r="F49" s="26" t="str">
        <f aca="false">IF(C49="Sim",IF(E49&lt;0,E49,E49*$B$10),"")</f>
        <v/>
      </c>
      <c r="G49" s="27" t="str">
        <f aca="false">IF(C49="Sim",$B$4-ROUND(F49*30.4375,0),"")</f>
        <v/>
      </c>
    </row>
    <row r="50" customFormat="false" ht="15" hidden="false" customHeight="true" outlineLevel="0" collapsed="false">
      <c r="A50" s="24" t="str">
        <f aca="false">Catálogo!C34</f>
        <v>Festa e presentes de compromisso</v>
      </c>
      <c r="B50" s="24" t="str">
        <f aca="false">Catálogo!B34</f>
        <v>Extras e festas do casal</v>
      </c>
      <c r="C50" s="25" t="str">
        <f aca="false">IF(AND(Catálogo!D34&lt;=$B$11,OR(Catálogo!H34="Todos",$B$6="Sim")),"Sim","Não")</f>
        <v>Não</v>
      </c>
      <c r="D50" s="25" t="str">
        <f aca="false">IF(AND(C50="Sim",Catálogo!F34="Sim"),"Sim","Não")</f>
        <v>Não</v>
      </c>
      <c r="E50" s="25" t="n">
        <f aca="false">Catálogo!I34</f>
        <v>4</v>
      </c>
      <c r="F50" s="26" t="str">
        <f aca="false">IF(C50="Sim",IF(E50&lt;0,E50,E50*$B$10),"")</f>
        <v/>
      </c>
      <c r="G50" s="27" t="str">
        <f aca="false">IF(C50="Sim",$B$4-ROUND(F50*30.4375,0),"")</f>
        <v/>
      </c>
    </row>
    <row r="51" customFormat="false" ht="15" hidden="false" customHeight="true" outlineLevel="0" collapsed="false">
      <c r="A51" s="24" t="str">
        <f aca="false">Catálogo!C35</f>
        <v>Bebidas e bar (open bar, bartender)</v>
      </c>
      <c r="B51" s="24" t="str">
        <f aca="false">Catálogo!B35</f>
        <v>Festa e decoração</v>
      </c>
      <c r="C51" s="25" t="str">
        <f aca="false">IF(AND(Catálogo!D35&lt;=$B$11,OR(Catálogo!H35="Todos",$B$6="Sim")),"Sim","Não")</f>
        <v>Não</v>
      </c>
      <c r="D51" s="25" t="str">
        <f aca="false">IF(AND(C51="Sim",Catálogo!F35="Sim"),"Sim","Não")</f>
        <v>Não</v>
      </c>
      <c r="E51" s="25" t="n">
        <f aca="false">Catálogo!I35</f>
        <v>4</v>
      </c>
      <c r="F51" s="26" t="str">
        <f aca="false">IF(C51="Sim",IF(E51&lt;0,E51,E51*$B$10),"")</f>
        <v/>
      </c>
      <c r="G51" s="27" t="str">
        <f aca="false">IF(C51="Sim",$B$4-ROUND(F51*30.4375,0),"")</f>
        <v/>
      </c>
    </row>
    <row r="52" customFormat="false" ht="15" hidden="false" customHeight="true" outlineLevel="0" collapsed="false">
      <c r="A52" s="24" t="str">
        <f aca="false">Catálogo!C36</f>
        <v>Segurança, estacionamento e equipe de apoio</v>
      </c>
      <c r="B52" s="24" t="str">
        <f aca="false">Catálogo!B36</f>
        <v>Festa e decoração</v>
      </c>
      <c r="C52" s="25" t="str">
        <f aca="false">IF(AND(Catálogo!D36&lt;=$B$11,OR(Catálogo!H36="Todos",$B$6="Sim")),"Sim","Não")</f>
        <v>Não</v>
      </c>
      <c r="D52" s="25" t="str">
        <f aca="false">IF(AND(C52="Sim",Catálogo!F36="Sim"),"Sim","Não")</f>
        <v>Não</v>
      </c>
      <c r="E52" s="25" t="n">
        <f aca="false">Catálogo!I36</f>
        <v>4</v>
      </c>
      <c r="F52" s="26" t="str">
        <f aca="false">IF(C52="Sim",IF(E52&lt;0,E52,E52*$B$10),"")</f>
        <v/>
      </c>
      <c r="G52" s="27" t="str">
        <f aca="false">IF(C52="Sim",$B$4-ROUND(F52*30.4375,0),"")</f>
        <v/>
      </c>
    </row>
    <row r="53" customFormat="false" ht="15" hidden="false" customHeight="true" outlineLevel="0" collapsed="false">
      <c r="A53" s="24" t="str">
        <f aca="false">Catálogo!C37</f>
        <v>Chá de panela ou chá bar</v>
      </c>
      <c r="B53" s="24" t="str">
        <f aca="false">Catálogo!B37</f>
        <v>Extras e festas do casal</v>
      </c>
      <c r="C53" s="25" t="str">
        <f aca="false">IF(AND(Catálogo!D37&lt;=$B$11,OR(Catálogo!H37="Todos",$B$6="Sim")),"Sim","Não")</f>
        <v>Não</v>
      </c>
      <c r="D53" s="25" t="str">
        <f aca="false">IF(AND(C53="Sim",Catálogo!F37="Sim"),"Sim","Não")</f>
        <v>Não</v>
      </c>
      <c r="E53" s="25" t="n">
        <f aca="false">Catálogo!I37</f>
        <v>4</v>
      </c>
      <c r="F53" s="26" t="str">
        <f aca="false">IF(C53="Sim",IF(E53&lt;0,E53,E53*$B$10),"")</f>
        <v/>
      </c>
      <c r="G53" s="27" t="str">
        <f aca="false">IF(C53="Sim",$B$4-ROUND(F53*30.4375,0),"")</f>
        <v/>
      </c>
    </row>
    <row r="54" customFormat="false" ht="15" hidden="false" customHeight="true" outlineLevel="0" collapsed="false">
      <c r="A54" s="24" t="str">
        <f aca="false">Catálogo!C38</f>
        <v>Papelaria complementar (menu, plaquinhas, mapa de mesas)</v>
      </c>
      <c r="B54" s="24" t="str">
        <f aca="false">Catálogo!B38</f>
        <v>Convidados e convites</v>
      </c>
      <c r="C54" s="25" t="str">
        <f aca="false">IF(AND(Catálogo!D38&lt;=$B$11,OR(Catálogo!H38="Todos",$B$6="Sim")),"Sim","Não")</f>
        <v>Não</v>
      </c>
      <c r="D54" s="25" t="str">
        <f aca="false">IF(AND(C54="Sim",Catálogo!F38="Sim"),"Sim","Não")</f>
        <v>Não</v>
      </c>
      <c r="E54" s="25" t="n">
        <f aca="false">Catálogo!I38</f>
        <v>4</v>
      </c>
      <c r="F54" s="26" t="str">
        <f aca="false">IF(C54="Sim",IF(E54&lt;0,E54,E54*$B$10),"")</f>
        <v/>
      </c>
      <c r="G54" s="27" t="str">
        <f aca="false">IF(C54="Sim",$B$4-ROUND(F54*30.4375,0),"")</f>
        <v/>
      </c>
    </row>
    <row r="55" customFormat="false" ht="15" hidden="false" customHeight="true" outlineLevel="0" collapsed="false">
      <c r="A55" s="24" t="str">
        <f aca="false">Catálogo!C39</f>
        <v>Espaço kids e recreação infantil</v>
      </c>
      <c r="B55" s="24" t="str">
        <f aca="false">Catálogo!B39</f>
        <v>Festa e decoração</v>
      </c>
      <c r="C55" s="25" t="str">
        <f aca="false">IF(AND(Catálogo!D39&lt;=$B$11,OR(Catálogo!H39="Todos",$B$6="Sim")),"Sim","Não")</f>
        <v>Não</v>
      </c>
      <c r="D55" s="25" t="str">
        <f aca="false">IF(AND(C55="Sim",Catálogo!F39="Sim"),"Sim","Não")</f>
        <v>Não</v>
      </c>
      <c r="E55" s="25" t="n">
        <f aca="false">Catálogo!I39</f>
        <v>4</v>
      </c>
      <c r="F55" s="26" t="str">
        <f aca="false">IF(C55="Sim",IF(E55&lt;0,E55,E55*$B$10),"")</f>
        <v/>
      </c>
      <c r="G55" s="27" t="str">
        <f aca="false">IF(C55="Sim",$B$4-ROUND(F55*30.4375,0),"")</f>
        <v/>
      </c>
    </row>
    <row r="56" customFormat="false" ht="15" hidden="false" customHeight="true" outlineLevel="0" collapsed="false">
      <c r="A56" s="24" t="str">
        <f aca="false">Catálogo!C40</f>
        <v>Seguro do evento</v>
      </c>
      <c r="B56" s="24" t="str">
        <f aca="false">Catálogo!B40</f>
        <v>Planejamento e documentos</v>
      </c>
      <c r="C56" s="25" t="str">
        <f aca="false">IF(AND(Catálogo!D40&lt;=$B$11,OR(Catálogo!H40="Todos",$B$6="Sim")),"Sim","Não")</f>
        <v>Não</v>
      </c>
      <c r="D56" s="25" t="str">
        <f aca="false">IF(AND(C56="Sim",Catálogo!F40="Sim"),"Sim","Não")</f>
        <v>Não</v>
      </c>
      <c r="E56" s="25" t="n">
        <f aca="false">Catálogo!I40</f>
        <v>4</v>
      </c>
      <c r="F56" s="26" t="str">
        <f aca="false">IF(C56="Sim",IF(E56&lt;0,E56,E56*$B$10),"")</f>
        <v/>
      </c>
      <c r="G56" s="27" t="str">
        <f aca="false">IF(C56="Sim",$B$4-ROUND(F56*30.4375,0),"")</f>
        <v/>
      </c>
    </row>
    <row r="57" customFormat="false" ht="15" hidden="false" customHeight="true" outlineLevel="0" collapsed="false">
      <c r="A57" s="24" t="str">
        <f aca="false">Catálogo!C41</f>
        <v>Enxoval e mudança</v>
      </c>
      <c r="B57" s="24" t="str">
        <f aca="false">Catálogo!B41</f>
        <v>Extras e festas do casal</v>
      </c>
      <c r="C57" s="25" t="str">
        <f aca="false">IF(AND(Catálogo!D41&lt;=$B$11,OR(Catálogo!H41="Todos",$B$6="Sim")),"Sim","Não")</f>
        <v>Não</v>
      </c>
      <c r="D57" s="25" t="str">
        <f aca="false">IF(AND(C57="Sim",Catálogo!F41="Sim"),"Sim","Não")</f>
        <v>Não</v>
      </c>
      <c r="E57" s="25" t="n">
        <f aca="false">Catálogo!I41</f>
        <v>4</v>
      </c>
      <c r="F57" s="26" t="str">
        <f aca="false">IF(C57="Sim",IF(E57&lt;0,E57,E57*$B$10),"")</f>
        <v/>
      </c>
      <c r="G57" s="27" t="str">
        <f aca="false">IF(C57="Sim",$B$4-ROUND(F57*30.4375,0),"")</f>
        <v/>
      </c>
    </row>
    <row r="58" customFormat="false" ht="15" hidden="false" customHeight="true" outlineLevel="0" collapsed="false">
      <c r="A58" s="24" t="str">
        <f aca="false">Catálogo!C42</f>
        <v>Buquê da noiva</v>
      </c>
      <c r="B58" s="24" t="str">
        <f aca="false">Catálogo!B42</f>
        <v>Festa e decoração</v>
      </c>
      <c r="C58" s="25" t="str">
        <f aca="false">IF(AND(Catálogo!D42&lt;=$B$11,OR(Catálogo!H42="Todos",$B$6="Sim")),"Sim","Não")</f>
        <v>Sim</v>
      </c>
      <c r="D58" s="25" t="str">
        <f aca="false">IF(AND(C58="Sim",Catálogo!F42="Sim"),"Sim","Não")</f>
        <v>Sim</v>
      </c>
      <c r="E58" s="25" t="n">
        <f aca="false">Catálogo!I42</f>
        <v>2</v>
      </c>
      <c r="F58" s="26" t="n">
        <f aca="false">IF(C58="Sim",IF(E58&lt;0,E58,E58*$B$10),"")</f>
        <v>1.33607118412047</v>
      </c>
      <c r="G58" s="27" t="n">
        <f aca="false">IF(C58="Sim",$B$4-ROUND(F58*30.4375,0),"")</f>
        <v>46516</v>
      </c>
    </row>
    <row r="59" customFormat="false" ht="15" hidden="false" customHeight="true" outlineLevel="0" collapsed="false">
      <c r="A59" s="24" t="str">
        <f aca="false">Catálogo!C43</f>
        <v>Acessórios da noiva (sapatos, véu, lingerie)</v>
      </c>
      <c r="B59" s="24" t="str">
        <f aca="false">Catálogo!B43</f>
        <v>Noivos e beleza</v>
      </c>
      <c r="C59" s="25" t="str">
        <f aca="false">IF(AND(Catálogo!D43&lt;=$B$11,OR(Catálogo!H43="Todos",$B$6="Sim")),"Sim","Não")</f>
        <v>Sim</v>
      </c>
      <c r="D59" s="25" t="str">
        <f aca="false">IF(AND(C59="Sim",Catálogo!F43="Sim"),"Sim","Não")</f>
        <v>Sim</v>
      </c>
      <c r="E59" s="25" t="n">
        <f aca="false">Catálogo!I43</f>
        <v>2</v>
      </c>
      <c r="F59" s="26" t="n">
        <f aca="false">IF(C59="Sim",IF(E59&lt;0,E59,E59*$B$10),"")</f>
        <v>1.33607118412047</v>
      </c>
      <c r="G59" s="27" t="n">
        <f aca="false">IF(C59="Sim",$B$4-ROUND(F59*30.4375,0),"")</f>
        <v>46516</v>
      </c>
    </row>
    <row r="60" customFormat="false" ht="15" hidden="false" customHeight="true" outlineLevel="0" collapsed="false">
      <c r="A60" s="24" t="str">
        <f aca="false">Catálogo!C44</f>
        <v>Alianças</v>
      </c>
      <c r="B60" s="24" t="str">
        <f aca="false">Catálogo!B44</f>
        <v>Cerimônia e música</v>
      </c>
      <c r="C60" s="25" t="str">
        <f aca="false">IF(AND(Catálogo!D44&lt;=$B$11,OR(Catálogo!H44="Todos",$B$6="Sim")),"Sim","Não")</f>
        <v>Sim</v>
      </c>
      <c r="D60" s="25" t="str">
        <f aca="false">IF(AND(C60="Sim",Catálogo!F44="Sim"),"Sim","Não")</f>
        <v>Sim</v>
      </c>
      <c r="E60" s="25" t="n">
        <f aca="false">Catálogo!I44</f>
        <v>2</v>
      </c>
      <c r="F60" s="26" t="n">
        <f aca="false">IF(C60="Sim",IF(E60&lt;0,E60,E60*$B$10),"")</f>
        <v>1.33607118412047</v>
      </c>
      <c r="G60" s="27" t="n">
        <f aca="false">IF(C60="Sim",$B$4-ROUND(F60*30.4375,0),"")</f>
        <v>46516</v>
      </c>
    </row>
    <row r="61" customFormat="false" ht="15" hidden="false" customHeight="true" outlineLevel="0" collapsed="false">
      <c r="A61" s="24" t="str">
        <f aca="false">Catálogo!C45</f>
        <v>Cabelo e maquiagem</v>
      </c>
      <c r="B61" s="24" t="str">
        <f aca="false">Catálogo!B45</f>
        <v>Noivos e beleza</v>
      </c>
      <c r="C61" s="25" t="str">
        <f aca="false">IF(AND(Catálogo!D45&lt;=$B$11,OR(Catálogo!H45="Todos",$B$6="Sim")),"Sim","Não")</f>
        <v>Sim</v>
      </c>
      <c r="D61" s="25" t="str">
        <f aca="false">IF(AND(C61="Sim",Catálogo!F45="Sim"),"Sim","Não")</f>
        <v>Sim</v>
      </c>
      <c r="E61" s="25" t="n">
        <f aca="false">Catálogo!I45</f>
        <v>2</v>
      </c>
      <c r="F61" s="26" t="n">
        <f aca="false">IF(C61="Sim",IF(E61&lt;0,E61,E61*$B$10),"")</f>
        <v>1.33607118412047</v>
      </c>
      <c r="G61" s="27" t="n">
        <f aca="false">IF(C61="Sim",$B$4-ROUND(F61*30.4375,0),"")</f>
        <v>46516</v>
      </c>
    </row>
    <row r="62" customFormat="false" ht="15" hidden="false" customHeight="true" outlineLevel="0" collapsed="false">
      <c r="A62" s="24" t="str">
        <f aca="false">Catálogo!C46</f>
        <v>Estética e cuidados (noiva e noivo)</v>
      </c>
      <c r="B62" s="24" t="str">
        <f aca="false">Catálogo!B46</f>
        <v>Noivos e beleza</v>
      </c>
      <c r="C62" s="25" t="str">
        <f aca="false">IF(AND(Catálogo!D46&lt;=$B$11,OR(Catálogo!H46="Todos",$B$6="Sim")),"Sim","Não")</f>
        <v>Não</v>
      </c>
      <c r="D62" s="25" t="str">
        <f aca="false">IF(AND(C62="Sim",Catálogo!F46="Sim"),"Sim","Não")</f>
        <v>Não</v>
      </c>
      <c r="E62" s="25" t="n">
        <f aca="false">Catálogo!I46</f>
        <v>2</v>
      </c>
      <c r="F62" s="26" t="str">
        <f aca="false">IF(C62="Sim",IF(E62&lt;0,E62,E62*$B$10),"")</f>
        <v/>
      </c>
      <c r="G62" s="27" t="str">
        <f aca="false">IF(C62="Sim",$B$4-ROUND(F62*30.4375,0),"")</f>
        <v/>
      </c>
    </row>
    <row r="63" customFormat="false" ht="15" hidden="false" customHeight="true" outlineLevel="0" collapsed="false">
      <c r="A63" s="24" t="str">
        <f aca="false">Catálogo!C47</f>
        <v>Carro dos noivos</v>
      </c>
      <c r="B63" s="24" t="str">
        <f aca="false">Catálogo!B47</f>
        <v>Viagens e hospedagem</v>
      </c>
      <c r="C63" s="25" t="str">
        <f aca="false">IF(AND(Catálogo!D47&lt;=$B$11,OR(Catálogo!H47="Todos",$B$6="Sim")),"Sim","Não")</f>
        <v>Não</v>
      </c>
      <c r="D63" s="25" t="str">
        <f aca="false">IF(AND(C63="Sim",Catálogo!F47="Sim"),"Sim","Não")</f>
        <v>Não</v>
      </c>
      <c r="E63" s="25" t="n">
        <f aca="false">Catálogo!I47</f>
        <v>2</v>
      </c>
      <c r="F63" s="26" t="str">
        <f aca="false">IF(C63="Sim",IF(E63&lt;0,E63,E63*$B$10),"")</f>
        <v/>
      </c>
      <c r="G63" s="27" t="str">
        <f aca="false">IF(C63="Sim",$B$4-ROUND(F63*30.4375,0),"")</f>
        <v/>
      </c>
    </row>
    <row r="64" customFormat="false" ht="15" hidden="false" customHeight="true" outlineLevel="0" collapsed="false">
      <c r="A64" s="24" t="str">
        <f aca="false">Catálogo!C48</f>
        <v>Hotel da noite do casamento</v>
      </c>
      <c r="B64" s="24" t="str">
        <f aca="false">Catálogo!B48</f>
        <v>Viagens e hospedagem</v>
      </c>
      <c r="C64" s="25" t="str">
        <f aca="false">IF(AND(Catálogo!D48&lt;=$B$11,OR(Catálogo!H48="Todos",$B$6="Sim")),"Sim","Não")</f>
        <v>Não</v>
      </c>
      <c r="D64" s="25" t="str">
        <f aca="false">IF(AND(C64="Sim",Catálogo!F48="Sim"),"Sim","Não")</f>
        <v>Não</v>
      </c>
      <c r="E64" s="25" t="n">
        <f aca="false">Catálogo!I48</f>
        <v>2</v>
      </c>
      <c r="F64" s="26" t="str">
        <f aca="false">IF(C64="Sim",IF(E64&lt;0,E64,E64*$B$10),"")</f>
        <v/>
      </c>
      <c r="G64" s="27" t="str">
        <f aca="false">IF(C64="Sim",$B$4-ROUND(F64*30.4375,0),"")</f>
        <v/>
      </c>
    </row>
    <row r="65" customFormat="false" ht="15" hidden="false" customHeight="true" outlineLevel="0" collapsed="false">
      <c r="A65" s="24" t="str">
        <f aca="false">Catálogo!C49</f>
        <v>Lembrancinhas</v>
      </c>
      <c r="B65" s="24" t="str">
        <f aca="false">Catálogo!B49</f>
        <v>Convidados e convites</v>
      </c>
      <c r="C65" s="25" t="str">
        <f aca="false">IF(AND(Catálogo!D49&lt;=$B$11,OR(Catálogo!H49="Todos",$B$6="Sim")),"Sim","Não")</f>
        <v>Não</v>
      </c>
      <c r="D65" s="25" t="str">
        <f aca="false">IF(AND(C65="Sim",Catálogo!F49="Sim"),"Sim","Não")</f>
        <v>Não</v>
      </c>
      <c r="E65" s="25" t="n">
        <f aca="false">Catálogo!I49</f>
        <v>2</v>
      </c>
      <c r="F65" s="26" t="str">
        <f aca="false">IF(C65="Sim",IF(E65&lt;0,E65,E65*$B$10),"")</f>
        <v/>
      </c>
      <c r="G65" s="27" t="str">
        <f aca="false">IF(C65="Sim",$B$4-ROUND(F65*30.4375,0),"")</f>
        <v/>
      </c>
    </row>
    <row r="66" customFormat="false" ht="15" hidden="false" customHeight="true" outlineLevel="0" collapsed="false">
      <c r="A66" s="24" t="str">
        <f aca="false">Catálogo!C50</f>
        <v>Presentes para convidados especiais</v>
      </c>
      <c r="B66" s="24" t="str">
        <f aca="false">Catálogo!B50</f>
        <v>Convidados e convites</v>
      </c>
      <c r="C66" s="25" t="str">
        <f aca="false">IF(AND(Catálogo!D50&lt;=$B$11,OR(Catálogo!H50="Todos",$B$6="Sim")),"Sim","Não")</f>
        <v>Não</v>
      </c>
      <c r="D66" s="25" t="str">
        <f aca="false">IF(AND(C66="Sim",Catálogo!F50="Sim"),"Sim","Não")</f>
        <v>Não</v>
      </c>
      <c r="E66" s="25" t="n">
        <f aca="false">Catálogo!I50</f>
        <v>2</v>
      </c>
      <c r="F66" s="26" t="str">
        <f aca="false">IF(C66="Sim",IF(E66&lt;0,E66,E66*$B$10),"")</f>
        <v/>
      </c>
      <c r="G66" s="27" t="str">
        <f aca="false">IF(C66="Sim",$B$4-ROUND(F66*30.4375,0),"")</f>
        <v/>
      </c>
    </row>
    <row r="67" customFormat="false" ht="15" hidden="false" customHeight="true" outlineLevel="0" collapsed="false">
      <c r="A67" s="24" t="str">
        <f aca="false">Catálogo!C51</f>
        <v>Despedida de solteiro(a)</v>
      </c>
      <c r="B67" s="24" t="str">
        <f aca="false">Catálogo!B51</f>
        <v>Extras e festas do casal</v>
      </c>
      <c r="C67" s="25" t="str">
        <f aca="false">IF(AND(Catálogo!D51&lt;=$B$11,OR(Catálogo!H51="Todos",$B$6="Sim")),"Sim","Não")</f>
        <v>Não</v>
      </c>
      <c r="D67" s="25" t="str">
        <f aca="false">IF(AND(C67="Sim",Catálogo!F51="Sim"),"Sim","Não")</f>
        <v>Não</v>
      </c>
      <c r="E67" s="25" t="n">
        <f aca="false">Catálogo!I51</f>
        <v>2</v>
      </c>
      <c r="F67" s="26" t="str">
        <f aca="false">IF(C67="Sim",IF(E67&lt;0,E67,E67*$B$10),"")</f>
        <v/>
      </c>
      <c r="G67" s="27" t="str">
        <f aca="false">IF(C67="Sim",$B$4-ROUND(F67*30.4375,0),"")</f>
        <v/>
      </c>
    </row>
    <row r="68" customFormat="false" ht="15" hidden="false" customHeight="true" outlineLevel="0" collapsed="false">
      <c r="A68" s="24" t="str">
        <f aca="false">Catálogo!C52</f>
        <v>Roupas das damas e pajens</v>
      </c>
      <c r="B68" s="24" t="str">
        <f aca="false">Catálogo!B52</f>
        <v>Extras e festas do casal</v>
      </c>
      <c r="C68" s="25" t="str">
        <f aca="false">IF(AND(Catálogo!D52&lt;=$B$11,OR(Catálogo!H52="Todos",$B$6="Sim")),"Sim","Não")</f>
        <v>Não</v>
      </c>
      <c r="D68" s="25" t="str">
        <f aca="false">IF(AND(C68="Sim",Catálogo!F52="Sim"),"Sim","Não")</f>
        <v>Não</v>
      </c>
      <c r="E68" s="25" t="n">
        <f aca="false">Catálogo!I52</f>
        <v>2</v>
      </c>
      <c r="F68" s="26" t="str">
        <f aca="false">IF(C68="Sim",IF(E68&lt;0,E68,E68*$B$10),"")</f>
        <v/>
      </c>
      <c r="G68" s="27" t="str">
        <f aca="false">IF(C68="Sim",$B$4-ROUND(F68*30.4375,0),"")</f>
        <v/>
      </c>
    </row>
    <row r="69" customFormat="false" ht="15" hidden="false" customHeight="true" outlineLevel="0" collapsed="false">
      <c r="A69" s="24" t="str">
        <f aca="false">Catálogo!C53</f>
        <v>Roupas dos pais e padrinhos</v>
      </c>
      <c r="B69" s="24" t="str">
        <f aca="false">Catálogo!B53</f>
        <v>Extras e festas do casal</v>
      </c>
      <c r="C69" s="25" t="str">
        <f aca="false">IF(AND(Catálogo!D53&lt;=$B$11,OR(Catálogo!H53="Todos",$B$6="Sim")),"Sim","Não")</f>
        <v>Não</v>
      </c>
      <c r="D69" s="25" t="str">
        <f aca="false">IF(AND(C69="Sim",Catálogo!F53="Sim"),"Sim","Não")</f>
        <v>Não</v>
      </c>
      <c r="E69" s="25" t="n">
        <f aca="false">Catálogo!I53</f>
        <v>2</v>
      </c>
      <c r="F69" s="26" t="str">
        <f aca="false">IF(C69="Sim",IF(E69&lt;0,E69,E69*$B$10),"")</f>
        <v/>
      </c>
      <c r="G69" s="27" t="str">
        <f aca="false">IF(C69="Sim",$B$4-ROUND(F69*30.4375,0),"")</f>
        <v/>
      </c>
    </row>
    <row r="70" customFormat="false" ht="15" hidden="false" customHeight="true" outlineLevel="0" collapsed="false">
      <c r="A70" s="24" t="str">
        <f aca="false">Catálogo!C54</f>
        <v>Troca de nome, documentos e conservação do vestido</v>
      </c>
      <c r="B70" s="24" t="str">
        <f aca="false">Catálogo!B54</f>
        <v>Planejamento e documentos</v>
      </c>
      <c r="C70" s="25" t="str">
        <f aca="false">IF(AND(Catálogo!D54&lt;=$B$11,OR(Catálogo!H54="Todos",$B$6="Sim")),"Sim","Não")</f>
        <v>Não</v>
      </c>
      <c r="D70" s="25" t="str">
        <f aca="false">IF(AND(C70="Sim",Catálogo!F54="Sim"),"Sim","Não")</f>
        <v>Não</v>
      </c>
      <c r="E70" s="25" t="n">
        <f aca="false">Catálogo!I54</f>
        <v>-1</v>
      </c>
      <c r="F70" s="26" t="str">
        <f aca="false">IF(C70="Sim",IF(E70&lt;0,E70,E70*$B$10),"")</f>
        <v/>
      </c>
      <c r="G70" s="27" t="str">
        <f aca="false">IF(C70="Sim",$B$4-ROUND(F70*30.4375,0),"")</f>
        <v/>
      </c>
    </row>
    <row r="71" customFormat="false" ht="15" hidden="false" customHeight="true" outlineLevel="0" collapsed="false">
      <c r="A71" s="24" t="str">
        <f aca="false">Catálogo!C55</f>
        <v>Álbum e entrega do material</v>
      </c>
      <c r="B71" s="24" t="str">
        <f aca="false">Catálogo!B55</f>
        <v>Foto e vídeo</v>
      </c>
      <c r="C71" s="25" t="str">
        <f aca="false">IF(AND(Catálogo!D55&lt;=$B$11,OR(Catálogo!H55="Todos",$B$6="Sim")),"Sim","Não")</f>
        <v>Não</v>
      </c>
      <c r="D71" s="25" t="str">
        <f aca="false">IF(AND(C71="Sim",Catálogo!F55="Sim"),"Sim","Não")</f>
        <v>Não</v>
      </c>
      <c r="E71" s="25" t="n">
        <f aca="false">Catálogo!I55</f>
        <v>-2</v>
      </c>
      <c r="F71" s="26" t="str">
        <f aca="false">IF(C71="Sim",IF(E71&lt;0,E71,E71*$B$10),"")</f>
        <v/>
      </c>
      <c r="G71" s="27" t="str">
        <f aca="false">IF(C71="Sim",$B$4-ROUND(F71*30.4375,0),"")</f>
        <v/>
      </c>
    </row>
  </sheetData>
  <dataValidations count="2">
    <dataValidation allowBlank="false" errorStyle="stop" operator="between" showDropDown="false" showErrorMessage="false" showInputMessage="false" sqref="B5" type="list">
      <formula1>"Completo,Minimalista,Só o necessário"</formula1>
      <formula2>0</formula2>
    </dataValidation>
    <dataValidation allowBlank="false" errorStyle="stop" operator="between" showDropDown="false" showErrorMessage="false" showInputMessage="false" sqref="B6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2"/>
  </cols>
  <sheetData>
    <row r="1" customFormat="false" ht="18" hidden="false" customHeight="true" outlineLevel="0" collapsed="false">
      <c r="A1" s="2" t="s">
        <v>150</v>
      </c>
    </row>
    <row r="2" customFormat="false" ht="15" hidden="false" customHeight="true" outlineLevel="0" collapsed="false">
      <c r="A2" s="15" t="s">
        <v>151</v>
      </c>
    </row>
    <row r="3" customFormat="false" ht="15" hidden="false" customHeight="true" outlineLevel="0" collapsed="false">
      <c r="B3" s="16" t="s">
        <v>152</v>
      </c>
    </row>
    <row r="4" customFormat="false" ht="31.5" hidden="false" customHeight="true" outlineLevel="0" collapsed="false">
      <c r="A4" s="23" t="s">
        <v>30</v>
      </c>
      <c r="B4" s="28" t="n">
        <v>18</v>
      </c>
      <c r="C4" s="28" t="n">
        <v>12</v>
      </c>
      <c r="D4" s="28" t="n">
        <v>9</v>
      </c>
      <c r="E4" s="28" t="n">
        <v>6</v>
      </c>
      <c r="F4" s="28" t="n">
        <v>4</v>
      </c>
      <c r="G4" s="28" t="n">
        <v>3</v>
      </c>
    </row>
    <row r="5" customFormat="false" ht="15" hidden="false" customHeight="true" outlineLevel="0" collapsed="false">
      <c r="A5" s="29" t="n">
        <v>10</v>
      </c>
      <c r="B5" s="30" t="n">
        <f aca="false">B$4-$A5*MAX(0,MIN(1,B$4/Simulador!$B$9))</f>
        <v>8</v>
      </c>
      <c r="C5" s="30" t="n">
        <f aca="false">C$4-$A5*MAX(0,MIN(1,C$4/Simulador!$B$9))</f>
        <v>2</v>
      </c>
      <c r="D5" s="30" t="n">
        <f aca="false">D$4-$A5*MAX(0,MIN(1,D$4/Simulador!$B$9))</f>
        <v>1.5</v>
      </c>
      <c r="E5" s="30" t="n">
        <f aca="false">E$4-$A5*MAX(0,MIN(1,E$4/Simulador!$B$9))</f>
        <v>1</v>
      </c>
      <c r="F5" s="30" t="n">
        <f aca="false">F$4-$A5*MAX(0,MIN(1,F$4/Simulador!$B$9))</f>
        <v>0.666666666666667</v>
      </c>
      <c r="G5" s="30" t="n">
        <f aca="false">G$4-$A5*MAX(0,MIN(1,G$4/Simulador!$B$9))</f>
        <v>0.5</v>
      </c>
    </row>
    <row r="6" customFormat="false" ht="15" hidden="false" customHeight="true" outlineLevel="0" collapsed="false">
      <c r="A6" s="29" t="n">
        <v>7</v>
      </c>
      <c r="B6" s="30" t="n">
        <f aca="false">B$4-$A6*MAX(0,MIN(1,B$4/Simulador!$B$9))</f>
        <v>11</v>
      </c>
      <c r="C6" s="30" t="n">
        <f aca="false">C$4-$A6*MAX(0,MIN(1,C$4/Simulador!$B$9))</f>
        <v>5</v>
      </c>
      <c r="D6" s="30" t="n">
        <f aca="false">D$4-$A6*MAX(0,MIN(1,D$4/Simulador!$B$9))</f>
        <v>3.75</v>
      </c>
      <c r="E6" s="30" t="n">
        <f aca="false">E$4-$A6*MAX(0,MIN(1,E$4/Simulador!$B$9))</f>
        <v>2.5</v>
      </c>
      <c r="F6" s="30" t="n">
        <f aca="false">F$4-$A6*MAX(0,MIN(1,F$4/Simulador!$B$9))</f>
        <v>1.66666666666667</v>
      </c>
      <c r="G6" s="30" t="n">
        <f aca="false">G$4-$A6*MAX(0,MIN(1,G$4/Simulador!$B$9))</f>
        <v>1.25</v>
      </c>
    </row>
    <row r="7" customFormat="false" ht="15" hidden="false" customHeight="true" outlineLevel="0" collapsed="false">
      <c r="A7" s="29" t="n">
        <v>4</v>
      </c>
      <c r="B7" s="30" t="n">
        <f aca="false">B$4-$A7*MAX(0,MIN(1,B$4/Simulador!$B$9))</f>
        <v>14</v>
      </c>
      <c r="C7" s="30" t="n">
        <f aca="false">C$4-$A7*MAX(0,MIN(1,C$4/Simulador!$B$9))</f>
        <v>8</v>
      </c>
      <c r="D7" s="30" t="n">
        <f aca="false">D$4-$A7*MAX(0,MIN(1,D$4/Simulador!$B$9))</f>
        <v>6</v>
      </c>
      <c r="E7" s="30" t="n">
        <f aca="false">E$4-$A7*MAX(0,MIN(1,E$4/Simulador!$B$9))</f>
        <v>4</v>
      </c>
      <c r="F7" s="30" t="n">
        <f aca="false">F$4-$A7*MAX(0,MIN(1,F$4/Simulador!$B$9))</f>
        <v>2.66666666666667</v>
      </c>
      <c r="G7" s="30" t="n">
        <f aca="false">G$4-$A7*MAX(0,MIN(1,G$4/Simulador!$B$9))</f>
        <v>2</v>
      </c>
    </row>
    <row r="8" customFormat="false" ht="15" hidden="false" customHeight="true" outlineLevel="0" collapsed="false">
      <c r="A8" s="29" t="n">
        <v>2</v>
      </c>
      <c r="B8" s="30" t="n">
        <f aca="false">B$4-$A8*MAX(0,MIN(1,B$4/Simulador!$B$9))</f>
        <v>16</v>
      </c>
      <c r="C8" s="30" t="n">
        <f aca="false">C$4-$A8*MAX(0,MIN(1,C$4/Simulador!$B$9))</f>
        <v>10</v>
      </c>
      <c r="D8" s="30" t="n">
        <f aca="false">D$4-$A8*MAX(0,MIN(1,D$4/Simulador!$B$9))</f>
        <v>7.5</v>
      </c>
      <c r="E8" s="30" t="n">
        <f aca="false">E$4-$A8*MAX(0,MIN(1,E$4/Simulador!$B$9))</f>
        <v>5</v>
      </c>
      <c r="F8" s="30" t="n">
        <f aca="false">F$4-$A8*MAX(0,MIN(1,F$4/Simulador!$B$9))</f>
        <v>3.33333333333333</v>
      </c>
      <c r="G8" s="30" t="n">
        <f aca="false">G$4-$A8*MAX(0,MIN(1,G$4/Simulador!$B$9))</f>
        <v>2.5</v>
      </c>
    </row>
    <row r="10" customFormat="false" ht="15" hidden="false" customHeight="true" outlineLevel="0" collapsed="false">
      <c r="A10" s="3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2026-10-19T02:39:46Z</dcterms:created>
  <dc:creator>openpyxl</dc:creator>
  <dc:description/>
  <dc:language>en-US</dc:language>
  <cp:lastModifiedBy>BRUNO HENRIQUE RODRIGUES DE VASCONCELOS</cp:lastModifiedBy>
  <dcterms:modified xsi:type="dcterms:W3CDTF">2026-10-19T03:24:13Z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